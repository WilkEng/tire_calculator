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filterPrivacy="1" codeName="ThisWorkbook" defaultThemeVersion="124226"/>
  <xr:revisionPtr revIDLastSave="0" documentId="13_ncr:1_{9445CC79-CAF0-483A-8A3F-62B8392E20E4}" xr6:coauthVersionLast="47" xr6:coauthVersionMax="47" xr10:uidLastSave="{00000000-0000-0000-0000-000000000000}"/>
  <bookViews>
    <workbookView xWindow="-120" yWindow="-120" windowWidth="51840" windowHeight="21240" xr2:uid="{00000000-000D-0000-FFFF-FFFF00000000}"/>
  </bookViews>
  <sheets>
    <sheet name="Temp" sheetId="1" r:id="rId1"/>
    <sheet name="Druck" sheetId="2" r:id="rId2"/>
    <sheet name="Kraftstoff" sheetId="3" r:id="rId3"/>
  </sheet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" i="1" l="1" a="1"/>
  <c r="I5" i="1"/>
  <c r="I4" i="1" a="1"/>
  <c r="I4" i="1"/>
  <c r="H5" i="1" a="1"/>
  <c r="H5" i="1"/>
  <c r="H4" i="1" a="1"/>
  <c r="H4" i="1"/>
  <c r="G5" i="1" a="1"/>
  <c r="G5" i="1"/>
  <c r="G4" i="1" a="1"/>
  <c r="G4" i="1"/>
  <c r="G3" i="1" a="1"/>
  <c r="G3" i="1"/>
  <c r="I21" i="1" a="1"/>
  <c r="I21" i="1"/>
  <c r="I20" i="1" a="1"/>
  <c r="I20" i="1"/>
  <c r="I19" i="1" a="1"/>
  <c r="I19" i="1"/>
  <c r="H20" i="1" a="1"/>
  <c r="H20" i="1"/>
  <c r="H21" i="1" a="1"/>
  <c r="H21" i="1"/>
  <c r="H19" i="1" a="1"/>
  <c r="H19" i="1"/>
  <c r="C21" i="1" a="1"/>
  <c r="C21" i="1"/>
  <c r="C20" i="1" a="1"/>
  <c r="C20" i="1"/>
  <c r="C19" i="1" a="1"/>
  <c r="C19" i="1"/>
  <c r="G21" i="1" a="1"/>
  <c r="G21" i="1"/>
  <c r="G20" i="1" a="1"/>
  <c r="G20" i="1"/>
  <c r="G19" i="1" a="1"/>
  <c r="G19" i="1"/>
  <c r="B21" i="1" a="1"/>
  <c r="B21" i="1"/>
  <c r="B20" i="1" a="1"/>
  <c r="B20" i="1"/>
  <c r="B19" i="1" a="1"/>
  <c r="B19" i="1"/>
  <c r="A21" i="1" a="1"/>
  <c r="A21" i="1"/>
  <c r="A20" i="1" a="1"/>
  <c r="A20" i="1"/>
  <c r="A19" i="1" a="1"/>
  <c r="A19" i="1"/>
  <c r="C5" i="1" a="1"/>
  <c r="C5" i="1"/>
  <c r="C3" i="1" a="1"/>
  <c r="C3" i="1"/>
  <c r="C4" i="1" a="1"/>
  <c r="C4" i="1"/>
  <c r="B5" i="1" a="1"/>
  <c r="B5" i="1"/>
  <c r="B4" i="1" a="1"/>
  <c r="B4" i="1"/>
  <c r="B3" i="1" a="1"/>
  <c r="B3" i="1"/>
  <c r="A5" i="1" a="1"/>
  <c r="A5" i="1"/>
  <c r="A4" i="1" a="1"/>
  <c r="A4" i="1"/>
  <c r="A3" i="1" a="1"/>
  <c r="A3" i="1"/>
  <c r="I3" i="1" a="1"/>
  <c r="I3" i="1"/>
  <c r="H3" i="1" a="1"/>
  <c r="H3" i="1"/>
  <c r="J20" i="1"/>
  <c r="K20" i="1"/>
  <c r="L20" i="1"/>
  <c r="J21" i="1"/>
  <c r="K21" i="1"/>
  <c r="L21" i="1"/>
  <c r="J4" i="1"/>
  <c r="K4" i="1"/>
  <c r="L4" i="1"/>
  <c r="J5" i="1"/>
  <c r="K5" i="1"/>
  <c r="L5" i="1"/>
  <c r="D20" i="1"/>
  <c r="E20" i="1"/>
  <c r="F20" i="1"/>
  <c r="D21" i="1"/>
  <c r="E21" i="1"/>
  <c r="F21" i="1"/>
  <c r="D5" i="1"/>
  <c r="E5" i="1"/>
  <c r="F5" i="1"/>
  <c r="D4" i="1"/>
  <c r="E4" i="1"/>
  <c r="F4" i="1"/>
  <c r="L19" i="1"/>
  <c r="K19" i="1"/>
  <c r="J19" i="1"/>
  <c r="F19" i="1"/>
  <c r="E19" i="1"/>
  <c r="D19" i="1"/>
  <c r="L3" i="1"/>
  <c r="K3" i="1"/>
  <c r="J3" i="1"/>
  <c r="S15" i="2"/>
  <c r="R15" i="2"/>
  <c r="R13" i="2"/>
  <c r="S13" i="2"/>
  <c r="F33" i="2"/>
  <c r="G33" i="2"/>
  <c r="F34" i="2"/>
  <c r="G34" i="2"/>
  <c r="B12" i="3"/>
  <c r="E12" i="3"/>
  <c r="K12" i="3"/>
  <c r="K18" i="3"/>
  <c r="F43" i="2"/>
  <c r="F42" i="2"/>
  <c r="G39" i="2"/>
  <c r="F39" i="2"/>
  <c r="G38" i="2"/>
  <c r="F38" i="2"/>
  <c r="G29" i="2"/>
  <c r="F29" i="2"/>
  <c r="G28" i="2"/>
  <c r="F28" i="2"/>
  <c r="G24" i="2"/>
  <c r="F24" i="2"/>
  <c r="G23" i="2"/>
  <c r="F23" i="2"/>
  <c r="G19" i="2"/>
  <c r="G7" i="2"/>
  <c r="F19" i="2"/>
  <c r="F7" i="2"/>
  <c r="G18" i="2"/>
  <c r="G5" i="2"/>
  <c r="F18" i="2"/>
  <c r="D3" i="1"/>
  <c r="E3" i="1"/>
  <c r="F3" i="1"/>
  <c r="F5" i="2"/>
  <c r="J18" i="2"/>
  <c r="J24" i="2"/>
  <c r="F14" i="2"/>
  <c r="K18" i="2"/>
  <c r="K24" i="2"/>
  <c r="G14" i="2"/>
  <c r="G12" i="2"/>
  <c r="K16" i="2"/>
  <c r="K22" i="2"/>
  <c r="J16" i="2"/>
  <c r="J22" i="2"/>
  <c r="F1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<sst xmlns="http://schemas.openxmlformats.org/spreadsheetml/2006/main" count="155" uniqueCount="76">
  <si>
    <t>aussen</t>
  </si>
  <si>
    <t xml:space="preserve">mitte </t>
  </si>
  <si>
    <t>innen</t>
  </si>
  <si>
    <t>Vorne Links</t>
  </si>
  <si>
    <t>mitte</t>
  </si>
  <si>
    <t>Vorne Rechts</t>
  </si>
  <si>
    <t>Δ Sturz</t>
  </si>
  <si>
    <t>Reifendruck</t>
  </si>
  <si>
    <t>Ø Temp</t>
  </si>
  <si>
    <t>Erg. Faktor</t>
  </si>
  <si>
    <t>°c</t>
  </si>
  <si>
    <t>innnen</t>
  </si>
  <si>
    <t>Hinten Links</t>
  </si>
  <si>
    <t>Hinten Rechts</t>
  </si>
  <si>
    <t xml:space="preserve">Reifendruck </t>
  </si>
  <si>
    <t>zu viel</t>
  </si>
  <si>
    <t>zu hoch</t>
  </si>
  <si>
    <t>leicht zu viel</t>
  </si>
  <si>
    <t>leicht zu hoch</t>
  </si>
  <si>
    <t>perfekt</t>
  </si>
  <si>
    <t>leicht zu wenig</t>
  </si>
  <si>
    <t>leicht zu tief</t>
  </si>
  <si>
    <t>zu wenig</t>
  </si>
  <si>
    <t>zu tief</t>
  </si>
  <si>
    <t>Messphase</t>
  </si>
  <si>
    <t>berechnete Zwischenwerte</t>
  </si>
  <si>
    <t>Umsetzungsphase</t>
  </si>
  <si>
    <t>Temperatur @ Beginn</t>
  </si>
  <si>
    <t>Berech. Reifentemperatur</t>
  </si>
  <si>
    <t>Ziel Druck</t>
  </si>
  <si>
    <t>Strecke</t>
  </si>
  <si>
    <t>VL</t>
  </si>
  <si>
    <t>VR</t>
  </si>
  <si>
    <t>Ambient</t>
  </si>
  <si>
    <t>HL</t>
  </si>
  <si>
    <t>HR</t>
  </si>
  <si>
    <t>Temperatur @ Renn</t>
  </si>
  <si>
    <t>Reifen</t>
  </si>
  <si>
    <t>Erste Kaltdrücke nach erwartete Temperaturen</t>
  </si>
  <si>
    <t>Berech.Kaltdruck @ Beginn Temp</t>
  </si>
  <si>
    <t>Kaltdruck @ Beginn</t>
  </si>
  <si>
    <t>Erw. Reifentemperatur</t>
  </si>
  <si>
    <t>Kaltdruck Berechnet</t>
  </si>
  <si>
    <t>Berech.Reifentemperatur Renn</t>
  </si>
  <si>
    <t>Gemessen 1</t>
  </si>
  <si>
    <t>Temp. Steigerungen 1</t>
  </si>
  <si>
    <t>Berech.Kaltdruck @ Renn Temp</t>
  </si>
  <si>
    <t>Temp. Steigerungen 2</t>
  </si>
  <si>
    <t>Gemessen 2</t>
  </si>
  <si>
    <t>Referenzwerte</t>
  </si>
  <si>
    <t>Temp. Steigerungen 3</t>
  </si>
  <si>
    <t>Tages Verlauf</t>
  </si>
  <si>
    <t>Gemessen 3</t>
  </si>
  <si>
    <t>Uhrzeit</t>
  </si>
  <si>
    <t>Temp. Steigerungen 4</t>
  </si>
  <si>
    <t>Gemessen 4</t>
  </si>
  <si>
    <t>Temp. Steigerungen 5</t>
  </si>
  <si>
    <t>Gemessen 5</t>
  </si>
  <si>
    <t>Strecke t°-Korr.</t>
  </si>
  <si>
    <t>Amb. t°-Korr.</t>
  </si>
  <si>
    <t>Verbrauch Rechner</t>
  </si>
  <si>
    <t>Hubraum (L)</t>
  </si>
  <si>
    <t>Warmlaufzeit (min)</t>
  </si>
  <si>
    <t>Anzahl Runden</t>
  </si>
  <si>
    <t>Vol verbaucht (L)</t>
  </si>
  <si>
    <t>Verb./Min warmlauf</t>
  </si>
  <si>
    <t>Verbrauch/Runde</t>
  </si>
  <si>
    <t>Rundenzeit (sek)</t>
  </si>
  <si>
    <t>Verbr./min (Rennen)</t>
  </si>
  <si>
    <t>Renndauer (min)</t>
  </si>
  <si>
    <t>Ein/aus runden</t>
  </si>
  <si>
    <t>Puffer (L)</t>
  </si>
  <si>
    <t>Kraftstoffmenge (L)</t>
  </si>
  <si>
    <t>Group 1</t>
  </si>
  <si>
    <t>Group 2</t>
  </si>
  <si>
    <t>Group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</si>
</sst>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rgb="FF000000"/>
      <name val="Calibri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charset val="1"/>
    </font>
    <font>
      <b/>
      <sz val="11"/>
      <color rgb="FF000000"/>
      <name val="Calibri"/>
      <charset val="1"/>
    </font>
    <font>
      <sz val="11"/>
      <color theme="0" tint="-0.34998626667073579"/>
      <name val="Calibri"/>
      <family val="2"/>
      <scheme val="minor"/>
    </font>
    <font>
      <b/>
      <sz val="11"/>
      <color theme="1" tint="0.499984740745262"/>
      <name val="Calibri"/>
      <charset val="1"/>
    </font>
    <font>
      <b/>
      <sz val="11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theme="1"/>
      <name val="Calibri"/>
      <charset val="1"/>
    </font>
    <font>
      <sz val="11"/>
      <color theme="0" tint="-4.9989318521683403E-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8"/>
      <color rgb="FF000000"/>
      <name val="Segoe UI"/>
      <family val="2"/>
    </font>
    <font>
      <b/>
      <sz val="11"/>
      <color rgb="FFDB0BA0"/>
      <name val="Calibri"/>
      <family val="2"/>
      <scheme val="minor"/>
    </font>
    <font>
      <sz val="11"/>
      <color rgb="FFDB0BA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10DA00"/>
      <name val="Calibri"/>
      <family val="2"/>
      <scheme val="minor"/>
    </font>
    <font>
      <sz val="11"/>
      <color rgb="FFF67B16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9F2F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E678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DB0BA0"/>
        <bgColor indexed="64"/>
      </patternFill>
    </fill>
    <fill>
      <patternFill patternType="solid">
        <fgColor rgb="FF10DA00"/>
        <bgColor indexed="64"/>
      </patternFill>
    </fill>
    <fill>
      <patternFill patternType="solid">
        <fgColor rgb="FFF67B16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34998626667073579"/>
        <bgColor indexed="64"/>
      </patternFill>
    </fill>
  </fills>
  <borders count="97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rgb="FF000000"/>
      </top>
      <bottom/>
      <diagonal/>
    </border>
    <border>
      <left style="thin">
        <color rgb="FF000000"/>
      </left>
      <right style="medium">
        <color indexed="64"/>
      </right>
      <top style="medium">
        <color rgb="FF000000"/>
      </top>
      <bottom/>
      <diagonal/>
    </border>
    <border>
      <left style="medium">
        <color indexed="64"/>
      </left>
      <right style="thin">
        <color rgb="FF000000"/>
      </right>
      <top style="medium">
        <color rgb="FF000000"/>
      </top>
      <bottom/>
      <diagonal/>
    </border>
    <border>
      <left style="medium">
        <color indexed="64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rgb="FF000000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</borders>
  <cellStyleXfs count="1">
    <xf numFmtId="0" fontId="0" fillId="0" borderId="0"/>
  </cellStyleXfs>
  <cellXfs count="254">
    <xf numFmtId="0" fontId="0" fillId="0" borderId="0" xfId="0"/>
    <xf numFmtId="0" fontId="0" fillId="0" borderId="2" xfId="0" applyBorder="1"/>
    <xf numFmtId="0" fontId="0" fillId="0" borderId="4" xfId="0" applyBorder="1"/>
    <xf numFmtId="0" fontId="0" fillId="0" borderId="6" xfId="0" applyBorder="1"/>
    <xf numFmtId="0" fontId="5" fillId="0" borderId="0" xfId="0" applyFont="1"/>
    <xf numFmtId="0" fontId="0" fillId="0" borderId="16" xfId="0" applyBorder="1"/>
    <xf numFmtId="0" fontId="0" fillId="0" borderId="3" xfId="0" applyBorder="1" applyAlignment="1">
      <alignment horizontal="center"/>
    </xf>
    <xf numFmtId="0" fontId="0" fillId="0" borderId="3" xfId="0" applyBorder="1"/>
    <xf numFmtId="0" fontId="0" fillId="0" borderId="5" xfId="0" applyBorder="1"/>
    <xf numFmtId="0" fontId="0" fillId="0" borderId="17" xfId="0" applyBorder="1"/>
    <xf numFmtId="0" fontId="5" fillId="10" borderId="21" xfId="0" applyFont="1" applyFill="1" applyBorder="1" applyAlignment="1">
      <alignment horizontal="center"/>
    </xf>
    <xf numFmtId="0" fontId="5" fillId="10" borderId="22" xfId="0" applyFont="1" applyFill="1" applyBorder="1" applyAlignment="1">
      <alignment horizontal="center"/>
    </xf>
    <xf numFmtId="0" fontId="5" fillId="10" borderId="10" xfId="0" applyFont="1" applyFill="1" applyBorder="1" applyAlignment="1">
      <alignment horizontal="center"/>
    </xf>
    <xf numFmtId="0" fontId="5" fillId="10" borderId="11" xfId="0" applyFont="1" applyFill="1" applyBorder="1" applyAlignment="1">
      <alignment horizontal="center"/>
    </xf>
    <xf numFmtId="0" fontId="12" fillId="9" borderId="7" xfId="0" applyFont="1" applyFill="1" applyBorder="1"/>
    <xf numFmtId="0" fontId="0" fillId="9" borderId="24" xfId="0" applyFill="1" applyBorder="1"/>
    <xf numFmtId="0" fontId="5" fillId="6" borderId="23" xfId="0" applyFont="1" applyFill="1" applyBorder="1" applyAlignment="1">
      <alignment horizontal="center"/>
    </xf>
    <xf numFmtId="0" fontId="11" fillId="13" borderId="7" xfId="0" applyFont="1" applyFill="1" applyBorder="1" applyAlignment="1">
      <alignment horizontal="center"/>
    </xf>
    <xf numFmtId="0" fontId="11" fillId="7" borderId="7" xfId="0" applyFont="1" applyFill="1" applyBorder="1" applyAlignment="1">
      <alignment horizontal="center"/>
    </xf>
    <xf numFmtId="0" fontId="5" fillId="7" borderId="7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" fillId="0" borderId="14" xfId="0" applyFont="1" applyBorder="1"/>
    <xf numFmtId="0" fontId="0" fillId="0" borderId="1" xfId="0" applyBorder="1"/>
    <xf numFmtId="0" fontId="8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4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1" fillId="12" borderId="21" xfId="0" applyFont="1" applyFill="1" applyBorder="1" applyAlignment="1">
      <alignment horizontal="center"/>
    </xf>
    <xf numFmtId="0" fontId="11" fillId="12" borderId="22" xfId="0" applyFont="1" applyFill="1" applyBorder="1" applyAlignment="1">
      <alignment horizontal="center"/>
    </xf>
    <xf numFmtId="0" fontId="11" fillId="12" borderId="10" xfId="0" applyFont="1" applyFill="1" applyBorder="1" applyAlignment="1">
      <alignment horizontal="center"/>
    </xf>
    <xf numFmtId="0" fontId="11" fillId="12" borderId="11" xfId="0" applyFont="1" applyFill="1" applyBorder="1" applyAlignment="1">
      <alignment horizontal="center"/>
    </xf>
    <xf numFmtId="0" fontId="9" fillId="7" borderId="9" xfId="0" applyFont="1" applyFill="1" applyBorder="1" applyAlignment="1">
      <alignment horizontal="center"/>
    </xf>
    <xf numFmtId="0" fontId="9" fillId="7" borderId="13" xfId="0" applyFont="1" applyFill="1" applyBorder="1" applyAlignment="1">
      <alignment horizontal="center"/>
    </xf>
    <xf numFmtId="0" fontId="6" fillId="2" borderId="23" xfId="0" applyFont="1" applyFill="1" applyBorder="1" applyAlignment="1">
      <alignment horizontal="center"/>
    </xf>
    <xf numFmtId="0" fontId="6" fillId="16" borderId="24" xfId="0" applyFont="1" applyFill="1" applyBorder="1"/>
    <xf numFmtId="0" fontId="6" fillId="17" borderId="0" xfId="0" applyFont="1" applyFill="1"/>
    <xf numFmtId="0" fontId="6" fillId="17" borderId="4" xfId="0" applyFont="1" applyFill="1" applyBorder="1"/>
    <xf numFmtId="0" fontId="6" fillId="17" borderId="0" xfId="0" applyFont="1" applyFill="1" applyAlignment="1">
      <alignment horizontal="center"/>
    </xf>
    <xf numFmtId="0" fontId="6" fillId="17" borderId="16" xfId="0" applyFont="1" applyFill="1" applyBorder="1"/>
    <xf numFmtId="0" fontId="6" fillId="17" borderId="2" xfId="0" applyFont="1" applyFill="1" applyBorder="1"/>
    <xf numFmtId="0" fontId="0" fillId="17" borderId="0" xfId="0" applyFill="1"/>
    <xf numFmtId="0" fontId="0" fillId="15" borderId="3" xfId="0" applyFill="1" applyBorder="1"/>
    <xf numFmtId="0" fontId="0" fillId="15" borderId="0" xfId="0" applyFill="1"/>
    <xf numFmtId="0" fontId="12" fillId="15" borderId="0" xfId="0" applyFont="1" applyFill="1"/>
    <xf numFmtId="0" fontId="11" fillId="15" borderId="0" xfId="0" applyFont="1" applyFill="1" applyAlignment="1">
      <alignment horizontal="center"/>
    </xf>
    <xf numFmtId="0" fontId="0" fillId="15" borderId="1" xfId="0" applyFill="1" applyBorder="1"/>
    <xf numFmtId="0" fontId="0" fillId="15" borderId="16" xfId="0" applyFill="1" applyBorder="1"/>
    <xf numFmtId="0" fontId="0" fillId="15" borderId="4" xfId="0" applyFill="1" applyBorder="1"/>
    <xf numFmtId="0" fontId="12" fillId="15" borderId="4" xfId="0" applyFont="1" applyFill="1" applyBorder="1"/>
    <xf numFmtId="0" fontId="11" fillId="15" borderId="4" xfId="0" applyFont="1" applyFill="1" applyBorder="1" applyAlignment="1">
      <alignment horizontal="center"/>
    </xf>
    <xf numFmtId="0" fontId="0" fillId="15" borderId="3" xfId="0" applyFill="1" applyBorder="1" applyAlignment="1">
      <alignment horizontal="center"/>
    </xf>
    <xf numFmtId="0" fontId="0" fillId="15" borderId="2" xfId="0" applyFill="1" applyBorder="1"/>
    <xf numFmtId="0" fontId="0" fillId="15" borderId="0" xfId="0" applyFill="1" applyAlignment="1">
      <alignment horizontal="center"/>
    </xf>
    <xf numFmtId="0" fontId="0" fillId="0" borderId="5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9" fillId="9" borderId="10" xfId="0" applyFont="1" applyFill="1" applyBorder="1" applyAlignment="1">
      <alignment horizontal="center"/>
    </xf>
    <xf numFmtId="0" fontId="9" fillId="9" borderId="11" xfId="0" applyFont="1" applyFill="1" applyBorder="1" applyAlignment="1">
      <alignment horizontal="center"/>
    </xf>
    <xf numFmtId="0" fontId="9" fillId="9" borderId="12" xfId="0" applyFont="1" applyFill="1" applyBorder="1" applyAlignment="1">
      <alignment horizontal="center"/>
    </xf>
    <xf numFmtId="0" fontId="9" fillId="9" borderId="13" xfId="0" applyFont="1" applyFill="1" applyBorder="1" applyAlignment="1">
      <alignment horizontal="center"/>
    </xf>
    <xf numFmtId="0" fontId="9" fillId="9" borderId="21" xfId="0" applyFont="1" applyFill="1" applyBorder="1" applyAlignment="1">
      <alignment horizontal="center"/>
    </xf>
    <xf numFmtId="0" fontId="9" fillId="9" borderId="22" xfId="0" applyFont="1" applyFill="1" applyBorder="1" applyAlignment="1">
      <alignment horizontal="center"/>
    </xf>
    <xf numFmtId="0" fontId="5" fillId="11" borderId="7" xfId="0" applyFont="1" applyFill="1" applyBorder="1" applyAlignment="1">
      <alignment horizontal="center"/>
    </xf>
    <xf numFmtId="0" fontId="0" fillId="13" borderId="7" xfId="0" applyFill="1" applyBorder="1" applyAlignment="1">
      <alignment horizontal="center"/>
    </xf>
    <xf numFmtId="0" fontId="5" fillId="15" borderId="7" xfId="0" applyFont="1" applyFill="1" applyBorder="1" applyAlignment="1">
      <alignment horizontal="center"/>
    </xf>
    <xf numFmtId="0" fontId="9" fillId="9" borderId="8" xfId="0" applyFont="1" applyFill="1" applyBorder="1" applyAlignment="1">
      <alignment horizontal="center"/>
    </xf>
    <xf numFmtId="0" fontId="0" fillId="15" borderId="5" xfId="0" applyFill="1" applyBorder="1"/>
    <xf numFmtId="0" fontId="0" fillId="15" borderId="17" xfId="0" applyFill="1" applyBorder="1"/>
    <xf numFmtId="0" fontId="15" fillId="15" borderId="0" xfId="0" applyFont="1" applyFill="1"/>
    <xf numFmtId="0" fontId="4" fillId="0" borderId="23" xfId="0" applyFont="1" applyBorder="1"/>
    <xf numFmtId="0" fontId="2" fillId="0" borderId="34" xfId="0" applyFont="1" applyBorder="1"/>
    <xf numFmtId="0" fontId="2" fillId="0" borderId="35" xfId="0" applyFont="1" applyBorder="1"/>
    <xf numFmtId="0" fontId="1" fillId="0" borderId="33" xfId="0" applyFont="1" applyBorder="1"/>
    <xf numFmtId="14" fontId="0" fillId="0" borderId="0" xfId="0" applyNumberFormat="1"/>
    <xf numFmtId="20" fontId="0" fillId="0" borderId="0" xfId="0" applyNumberFormat="1"/>
    <xf numFmtId="9" fontId="0" fillId="0" borderId="0" xfId="0" applyNumberFormat="1"/>
    <xf numFmtId="0" fontId="0" fillId="0" borderId="0" xfId="0" applyBorder="1"/>
    <xf numFmtId="0" fontId="7" fillId="0" borderId="0" xfId="0" applyFont="1" applyBorder="1"/>
    <xf numFmtId="0" fontId="0" fillId="0" borderId="39" xfId="0" applyBorder="1"/>
    <xf numFmtId="0" fontId="0" fillId="0" borderId="38" xfId="0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17" fillId="0" borderId="43" xfId="0" applyFont="1" applyBorder="1"/>
    <xf numFmtId="0" fontId="17" fillId="0" borderId="44" xfId="0" applyFont="1" applyBorder="1"/>
    <xf numFmtId="0" fontId="17" fillId="0" borderId="45" xfId="0" applyFont="1" applyBorder="1"/>
    <xf numFmtId="0" fontId="2" fillId="0" borderId="44" xfId="0" applyFont="1" applyBorder="1"/>
    <xf numFmtId="0" fontId="1" fillId="0" borderId="43" xfId="0" applyFont="1" applyBorder="1"/>
    <xf numFmtId="0" fontId="2" fillId="0" borderId="45" xfId="0" applyFont="1" applyBorder="1"/>
    <xf numFmtId="0" fontId="2" fillId="0" borderId="49" xfId="0" applyFont="1" applyBorder="1"/>
    <xf numFmtId="0" fontId="18" fillId="18" borderId="40" xfId="0" applyFont="1" applyFill="1" applyBorder="1" applyAlignment="1">
      <alignment horizontal="center"/>
    </xf>
    <xf numFmtId="0" fontId="18" fillId="18" borderId="41" xfId="0" applyFont="1" applyFill="1" applyBorder="1" applyAlignment="1">
      <alignment horizontal="center"/>
    </xf>
    <xf numFmtId="0" fontId="16" fillId="18" borderId="50" xfId="0" applyFont="1" applyFill="1" applyBorder="1" applyAlignment="1">
      <alignment horizontal="center"/>
    </xf>
    <xf numFmtId="0" fontId="16" fillId="18" borderId="51" xfId="0" applyFont="1" applyFill="1" applyBorder="1" applyAlignment="1">
      <alignment horizontal="center"/>
    </xf>
    <xf numFmtId="0" fontId="16" fillId="18" borderId="52" xfId="0" applyFont="1" applyFill="1" applyBorder="1" applyAlignment="1">
      <alignment horizontal="center"/>
    </xf>
    <xf numFmtId="0" fontId="2" fillId="0" borderId="60" xfId="0" applyFont="1" applyBorder="1"/>
    <xf numFmtId="0" fontId="2" fillId="0" borderId="62" xfId="0" applyFont="1" applyBorder="1"/>
    <xf numFmtId="0" fontId="0" fillId="0" borderId="38" xfId="0" applyBorder="1" applyAlignment="1">
      <alignment horizontal="center"/>
    </xf>
    <xf numFmtId="0" fontId="0" fillId="0" borderId="0" xfId="0" applyBorder="1" applyAlignment="1">
      <alignment horizontal="center"/>
    </xf>
    <xf numFmtId="0" fontId="7" fillId="0" borderId="39" xfId="0" applyFont="1" applyBorder="1"/>
    <xf numFmtId="0" fontId="2" fillId="0" borderId="0" xfId="0" applyFont="1" applyBorder="1"/>
    <xf numFmtId="0" fontId="7" fillId="0" borderId="65" xfId="0" applyFont="1" applyBorder="1"/>
    <xf numFmtId="0" fontId="0" fillId="8" borderId="66" xfId="0" applyFill="1" applyBorder="1"/>
    <xf numFmtId="0" fontId="0" fillId="2" borderId="66" xfId="0" applyFill="1" applyBorder="1"/>
    <xf numFmtId="0" fontId="0" fillId="4" borderId="66" xfId="0" applyFill="1" applyBorder="1"/>
    <xf numFmtId="0" fontId="3" fillId="8" borderId="66" xfId="0" applyFont="1" applyFill="1" applyBorder="1"/>
    <xf numFmtId="0" fontId="0" fillId="5" borderId="68" xfId="0" applyFill="1" applyBorder="1"/>
    <xf numFmtId="0" fontId="0" fillId="0" borderId="0" xfId="0" applyFill="1" applyBorder="1"/>
    <xf numFmtId="0" fontId="3" fillId="0" borderId="0" xfId="0" applyFont="1" applyFill="1" applyBorder="1"/>
    <xf numFmtId="0" fontId="5" fillId="0" borderId="0" xfId="0" applyFont="1" applyFill="1" applyBorder="1" applyAlignment="1"/>
    <xf numFmtId="0" fontId="4" fillId="0" borderId="0" xfId="0" applyFont="1" applyFill="1" applyBorder="1" applyAlignment="1"/>
    <xf numFmtId="0" fontId="0" fillId="0" borderId="0" xfId="0" applyAlignment="1"/>
    <xf numFmtId="0" fontId="0" fillId="0" borderId="3" xfId="0" applyBorder="1" applyAlignment="1"/>
    <xf numFmtId="0" fontId="0" fillId="0" borderId="4" xfId="0" applyBorder="1" applyAlignment="1"/>
    <xf numFmtId="0" fontId="0" fillId="0" borderId="5" xfId="0" applyBorder="1" applyAlignment="1"/>
    <xf numFmtId="0" fontId="0" fillId="0" borderId="17" xfId="0" applyBorder="1" applyAlignment="1"/>
    <xf numFmtId="0" fontId="0" fillId="0" borderId="6" xfId="0" applyBorder="1" applyAlignment="1"/>
    <xf numFmtId="0" fontId="9" fillId="13" borderId="19" xfId="0" applyFont="1" applyFill="1" applyBorder="1" applyAlignment="1">
      <alignment horizontal="center"/>
    </xf>
    <xf numFmtId="0" fontId="9" fillId="13" borderId="20" xfId="0" applyFont="1" applyFill="1" applyBorder="1" applyAlignment="1">
      <alignment horizontal="center"/>
    </xf>
    <xf numFmtId="0" fontId="13" fillId="14" borderId="5" xfId="0" applyFont="1" applyFill="1" applyBorder="1" applyAlignment="1">
      <alignment horizontal="center"/>
    </xf>
    <xf numFmtId="0" fontId="13" fillId="14" borderId="17" xfId="0" applyFont="1" applyFill="1" applyBorder="1" applyAlignment="1">
      <alignment horizontal="center"/>
    </xf>
    <xf numFmtId="0" fontId="5" fillId="14" borderId="18" xfId="0" applyFont="1" applyFill="1" applyBorder="1" applyAlignment="1">
      <alignment horizontal="center"/>
    </xf>
    <xf numFmtId="0" fontId="5" fillId="14" borderId="26" xfId="0" applyFont="1" applyFill="1" applyBorder="1" applyAlignment="1">
      <alignment horizontal="center"/>
    </xf>
    <xf numFmtId="0" fontId="5" fillId="14" borderId="27" xfId="0" applyFont="1" applyFill="1" applyBorder="1" applyAlignment="1">
      <alignment horizontal="center"/>
    </xf>
    <xf numFmtId="0" fontId="4" fillId="7" borderId="8" xfId="0" applyFont="1" applyFill="1" applyBorder="1" applyAlignment="1">
      <alignment horizontal="center"/>
    </xf>
    <xf numFmtId="0" fontId="4" fillId="7" borderId="15" xfId="0" applyFont="1" applyFill="1" applyBorder="1" applyAlignment="1">
      <alignment horizontal="center"/>
    </xf>
    <xf numFmtId="0" fontId="4" fillId="7" borderId="9" xfId="0" applyFont="1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3" xfId="0" applyBorder="1" applyAlignment="1">
      <alignment horizontal="center"/>
    </xf>
    <xf numFmtId="0" fontId="8" fillId="6" borderId="8" xfId="0" applyFont="1" applyFill="1" applyBorder="1" applyAlignment="1">
      <alignment horizontal="center"/>
    </xf>
    <xf numFmtId="0" fontId="8" fillId="6" borderId="15" xfId="0" applyFont="1" applyFill="1" applyBorder="1" applyAlignment="1">
      <alignment horizontal="center"/>
    </xf>
    <xf numFmtId="0" fontId="8" fillId="6" borderId="9" xfId="0" applyFont="1" applyFill="1" applyBorder="1" applyAlignment="1">
      <alignment horizontal="center"/>
    </xf>
    <xf numFmtId="0" fontId="5" fillId="10" borderId="10" xfId="0" applyFont="1" applyFill="1" applyBorder="1" applyAlignment="1">
      <alignment horizontal="center"/>
    </xf>
    <xf numFmtId="0" fontId="5" fillId="10" borderId="7" xfId="0" applyFont="1" applyFill="1" applyBorder="1" applyAlignment="1">
      <alignment horizontal="center"/>
    </xf>
    <xf numFmtId="0" fontId="5" fillId="10" borderId="11" xfId="0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1" xfId="0" applyBorder="1" applyAlignment="1">
      <alignment horizontal="center"/>
    </xf>
    <xf numFmtId="0" fontId="8" fillId="6" borderId="19" xfId="0" applyFont="1" applyFill="1" applyBorder="1" applyAlignment="1">
      <alignment horizontal="center"/>
    </xf>
    <xf numFmtId="0" fontId="8" fillId="6" borderId="20" xfId="0" applyFont="1" applyFill="1" applyBorder="1" applyAlignment="1">
      <alignment horizontal="center"/>
    </xf>
    <xf numFmtId="0" fontId="10" fillId="6" borderId="19" xfId="0" applyFont="1" applyFill="1" applyBorder="1" applyAlignment="1">
      <alignment horizontal="center"/>
    </xf>
    <xf numFmtId="0" fontId="10" fillId="6" borderId="20" xfId="0" applyFont="1" applyFill="1" applyBorder="1" applyAlignment="1">
      <alignment horizontal="center"/>
    </xf>
    <xf numFmtId="0" fontId="13" fillId="14" borderId="18" xfId="0" applyFont="1" applyFill="1" applyBorder="1" applyAlignment="1">
      <alignment horizontal="center"/>
    </xf>
    <xf numFmtId="0" fontId="13" fillId="14" borderId="26" xfId="0" applyFont="1" applyFill="1" applyBorder="1" applyAlignment="1">
      <alignment horizontal="center"/>
    </xf>
    <xf numFmtId="0" fontId="13" fillId="14" borderId="27" xfId="0" applyFont="1" applyFill="1" applyBorder="1" applyAlignment="1">
      <alignment horizontal="center"/>
    </xf>
    <xf numFmtId="0" fontId="14" fillId="6" borderId="19" xfId="0" applyFont="1" applyFill="1" applyBorder="1" applyAlignment="1">
      <alignment horizontal="center"/>
    </xf>
    <xf numFmtId="0" fontId="14" fillId="6" borderId="20" xfId="0" applyFont="1" applyFill="1" applyBorder="1" applyAlignment="1">
      <alignment horizontal="center"/>
    </xf>
    <xf numFmtId="0" fontId="13" fillId="14" borderId="18" xfId="0" applyFont="1" applyFill="1" applyBorder="1" applyAlignment="1">
      <alignment horizontal="center" wrapText="1"/>
    </xf>
    <xf numFmtId="0" fontId="10" fillId="7" borderId="19" xfId="0" applyFont="1" applyFill="1" applyBorder="1" applyAlignment="1">
      <alignment horizontal="center"/>
    </xf>
    <xf numFmtId="0" fontId="10" fillId="7" borderId="20" xfId="0" applyFont="1" applyFill="1" applyBorder="1" applyAlignment="1">
      <alignment horizontal="center"/>
    </xf>
    <xf numFmtId="0" fontId="5" fillId="14" borderId="1" xfId="0" applyFont="1" applyFill="1" applyBorder="1" applyAlignment="1">
      <alignment horizontal="center"/>
    </xf>
    <xf numFmtId="0" fontId="5" fillId="14" borderId="16" xfId="0" applyFont="1" applyFill="1" applyBorder="1" applyAlignment="1">
      <alignment horizontal="center"/>
    </xf>
    <xf numFmtId="0" fontId="5" fillId="14" borderId="2" xfId="0" applyFont="1" applyFill="1" applyBorder="1" applyAlignment="1">
      <alignment horizontal="center"/>
    </xf>
    <xf numFmtId="0" fontId="5" fillId="14" borderId="5" xfId="0" applyFont="1" applyFill="1" applyBorder="1" applyAlignment="1">
      <alignment horizontal="center"/>
    </xf>
    <xf numFmtId="0" fontId="5" fillId="14" borderId="17" xfId="0" applyFont="1" applyFill="1" applyBorder="1" applyAlignment="1">
      <alignment horizontal="center"/>
    </xf>
    <xf numFmtId="0" fontId="5" fillId="14" borderId="6" xfId="0" applyFont="1" applyFill="1" applyBorder="1" applyAlignment="1">
      <alignment horizontal="center"/>
    </xf>
    <xf numFmtId="0" fontId="0" fillId="0" borderId="69" xfId="0" applyBorder="1"/>
    <xf numFmtId="0" fontId="0" fillId="0" borderId="70" xfId="0" applyBorder="1"/>
    <xf numFmtId="0" fontId="5" fillId="19" borderId="59" xfId="0" applyNumberFormat="1" applyFont="1" applyFill="1" applyBorder="1" applyAlignment="1">
      <alignment horizontal="center"/>
    </xf>
    <xf numFmtId="0" fontId="5" fillId="19" borderId="47" xfId="0" applyFont="1" applyFill="1" applyBorder="1" applyAlignment="1">
      <alignment horizontal="center"/>
    </xf>
    <xf numFmtId="0" fontId="5" fillId="19" borderId="48" xfId="0" applyFont="1" applyFill="1" applyBorder="1" applyAlignment="1">
      <alignment horizontal="center"/>
    </xf>
    <xf numFmtId="0" fontId="5" fillId="20" borderId="61" xfId="0" applyNumberFormat="1" applyFont="1" applyFill="1" applyBorder="1" applyAlignment="1">
      <alignment horizontal="center"/>
    </xf>
    <xf numFmtId="0" fontId="5" fillId="20" borderId="32" xfId="0" applyFont="1" applyFill="1" applyBorder="1" applyAlignment="1">
      <alignment horizontal="center"/>
    </xf>
    <xf numFmtId="0" fontId="5" fillId="20" borderId="36" xfId="0" applyFont="1" applyFill="1" applyBorder="1" applyAlignment="1">
      <alignment horizontal="center"/>
    </xf>
    <xf numFmtId="0" fontId="5" fillId="21" borderId="61" xfId="0" applyNumberFormat="1" applyFont="1" applyFill="1" applyBorder="1" applyAlignment="1">
      <alignment horizontal="center"/>
    </xf>
    <xf numFmtId="0" fontId="5" fillId="21" borderId="32" xfId="0" applyFont="1" applyFill="1" applyBorder="1" applyAlignment="1">
      <alignment horizontal="center"/>
    </xf>
    <xf numFmtId="0" fontId="5" fillId="21" borderId="36" xfId="0" applyFont="1" applyFill="1" applyBorder="1" applyAlignment="1">
      <alignment horizontal="center"/>
    </xf>
    <xf numFmtId="0" fontId="5" fillId="19" borderId="46" xfId="0" applyFont="1" applyFill="1" applyBorder="1" applyAlignment="1">
      <alignment horizontal="center"/>
    </xf>
    <xf numFmtId="0" fontId="5" fillId="19" borderId="59" xfId="0" applyFont="1" applyFill="1" applyBorder="1" applyAlignment="1">
      <alignment horizontal="center"/>
    </xf>
    <xf numFmtId="0" fontId="5" fillId="20" borderId="33" xfId="0" applyFont="1" applyFill="1" applyBorder="1" applyAlignment="1">
      <alignment horizontal="center"/>
    </xf>
    <xf numFmtId="0" fontId="5" fillId="20" borderId="34" xfId="0" applyFont="1" applyFill="1" applyBorder="1" applyAlignment="1">
      <alignment horizontal="center"/>
    </xf>
    <xf numFmtId="0" fontId="5" fillId="20" borderId="37" xfId="0" applyFont="1" applyFill="1" applyBorder="1" applyAlignment="1">
      <alignment horizontal="center"/>
    </xf>
    <xf numFmtId="0" fontId="5" fillId="20" borderId="63" xfId="0" applyFont="1" applyFill="1" applyBorder="1" applyAlignment="1">
      <alignment horizontal="center"/>
    </xf>
    <xf numFmtId="0" fontId="5" fillId="21" borderId="33" xfId="0" applyFont="1" applyFill="1" applyBorder="1" applyAlignment="1">
      <alignment horizontal="center"/>
    </xf>
    <xf numFmtId="0" fontId="5" fillId="21" borderId="34" xfId="0" applyFont="1" applyFill="1" applyBorder="1" applyAlignment="1">
      <alignment horizontal="center"/>
    </xf>
    <xf numFmtId="0" fontId="5" fillId="21" borderId="37" xfId="0" applyFont="1" applyFill="1" applyBorder="1" applyAlignment="1">
      <alignment horizontal="center"/>
    </xf>
    <xf numFmtId="0" fontId="5" fillId="21" borderId="64" xfId="0" applyFont="1" applyFill="1" applyBorder="1" applyAlignment="1">
      <alignment horizontal="center"/>
    </xf>
    <xf numFmtId="0" fontId="5" fillId="21" borderId="29" xfId="0" applyFont="1" applyFill="1" applyBorder="1" applyAlignment="1">
      <alignment horizontal="center"/>
    </xf>
    <xf numFmtId="0" fontId="5" fillId="21" borderId="31" xfId="0" applyFont="1" applyFill="1" applyBorder="1" applyAlignment="1">
      <alignment horizontal="center"/>
    </xf>
    <xf numFmtId="0" fontId="5" fillId="21" borderId="28" xfId="0" applyFont="1" applyFill="1" applyBorder="1" applyAlignment="1">
      <alignment horizontal="center"/>
    </xf>
    <xf numFmtId="0" fontId="5" fillId="0" borderId="30" xfId="0" applyFont="1" applyBorder="1" applyAlignment="1">
      <alignment horizontal="center"/>
    </xf>
    <xf numFmtId="0" fontId="5" fillId="0" borderId="67" xfId="0" applyFont="1" applyBorder="1" applyAlignment="1">
      <alignment horizontal="center"/>
    </xf>
    <xf numFmtId="0" fontId="5" fillId="0" borderId="71" xfId="0" applyFont="1" applyBorder="1" applyAlignment="1">
      <alignment horizontal="center"/>
    </xf>
    <xf numFmtId="0" fontId="5" fillId="0" borderId="72" xfId="0" applyFont="1" applyBorder="1" applyAlignment="1">
      <alignment horizontal="center"/>
    </xf>
    <xf numFmtId="0" fontId="5" fillId="22" borderId="53" xfId="0" applyFont="1" applyFill="1" applyBorder="1" applyAlignment="1">
      <alignment horizontal="center"/>
    </xf>
    <xf numFmtId="0" fontId="5" fillId="22" borderId="54" xfId="0" applyFont="1" applyFill="1" applyBorder="1" applyAlignment="1">
      <alignment horizontal="center"/>
    </xf>
    <xf numFmtId="0" fontId="5" fillId="22" borderId="55" xfId="0" applyFont="1" applyFill="1" applyBorder="1" applyAlignment="1">
      <alignment horizontal="center"/>
    </xf>
    <xf numFmtId="0" fontId="4" fillId="22" borderId="56" xfId="0" applyFont="1" applyFill="1" applyBorder="1" applyAlignment="1">
      <alignment horizontal="center"/>
    </xf>
    <xf numFmtId="0" fontId="0" fillId="22" borderId="54" xfId="0" applyFill="1" applyBorder="1" applyAlignment="1">
      <alignment horizontal="center"/>
    </xf>
    <xf numFmtId="0" fontId="0" fillId="22" borderId="55" xfId="0" applyFill="1" applyBorder="1" applyAlignment="1">
      <alignment horizontal="center"/>
    </xf>
    <xf numFmtId="0" fontId="5" fillId="22" borderId="56" xfId="0" applyFont="1" applyFill="1" applyBorder="1" applyAlignment="1">
      <alignment horizontal="center"/>
    </xf>
    <xf numFmtId="0" fontId="4" fillId="22" borderId="56" xfId="0" applyFont="1" applyFill="1" applyBorder="1" applyAlignment="1"/>
    <xf numFmtId="0" fontId="0" fillId="22" borderId="54" xfId="0" applyFill="1" applyBorder="1" applyAlignment="1"/>
    <xf numFmtId="0" fontId="0" fillId="22" borderId="57" xfId="0" applyFill="1" applyBorder="1" applyAlignment="1"/>
    <xf numFmtId="0" fontId="0" fillId="22" borderId="38" xfId="0" applyFill="1" applyBorder="1"/>
    <xf numFmtId="0" fontId="0" fillId="22" borderId="0" xfId="0" applyFill="1" applyBorder="1"/>
    <xf numFmtId="0" fontId="0" fillId="22" borderId="40" xfId="0" applyFill="1" applyBorder="1"/>
    <xf numFmtId="0" fontId="0" fillId="22" borderId="41" xfId="0" applyFill="1" applyBorder="1"/>
    <xf numFmtId="0" fontId="0" fillId="22" borderId="42" xfId="0" applyFill="1" applyBorder="1"/>
    <xf numFmtId="0" fontId="0" fillId="22" borderId="57" xfId="0" applyFill="1" applyBorder="1" applyAlignment="1">
      <alignment horizontal="center"/>
    </xf>
    <xf numFmtId="0" fontId="5" fillId="22" borderId="58" xfId="0" applyFont="1" applyFill="1" applyBorder="1" applyAlignment="1">
      <alignment horizontal="center"/>
    </xf>
    <xf numFmtId="0" fontId="0" fillId="22" borderId="73" xfId="0" applyFill="1" applyBorder="1"/>
    <xf numFmtId="0" fontId="4" fillId="22" borderId="74" xfId="0" applyFont="1" applyFill="1" applyBorder="1" applyAlignment="1">
      <alignment horizontal="center"/>
    </xf>
    <xf numFmtId="0" fontId="4" fillId="22" borderId="75" xfId="0" applyFont="1" applyFill="1" applyBorder="1" applyAlignment="1">
      <alignment horizontal="center"/>
    </xf>
    <xf numFmtId="0" fontId="0" fillId="23" borderId="0" xfId="0" applyFill="1" applyBorder="1"/>
    <xf numFmtId="0" fontId="0" fillId="23" borderId="76" xfId="0" applyFill="1" applyBorder="1"/>
    <xf numFmtId="0" fontId="0" fillId="22" borderId="78" xfId="0" applyFill="1" applyBorder="1"/>
    <xf numFmtId="0" fontId="0" fillId="23" borderId="79" xfId="0" applyFill="1" applyBorder="1"/>
    <xf numFmtId="14" fontId="6" fillId="23" borderId="79" xfId="0" applyNumberFormat="1" applyFont="1" applyFill="1" applyBorder="1"/>
    <xf numFmtId="20" fontId="6" fillId="23" borderId="79" xfId="0" applyNumberFormat="1" applyFont="1" applyFill="1" applyBorder="1"/>
    <xf numFmtId="0" fontId="6" fillId="23" borderId="79" xfId="0" applyFont="1" applyFill="1" applyBorder="1"/>
    <xf numFmtId="9" fontId="6" fillId="23" borderId="79" xfId="0" applyNumberFormat="1" applyFont="1" applyFill="1" applyBorder="1"/>
    <xf numFmtId="0" fontId="0" fillId="23" borderId="77" xfId="0" applyFill="1" applyBorder="1"/>
    <xf numFmtId="0" fontId="20" fillId="23" borderId="0" xfId="0" applyFont="1" applyFill="1" applyBorder="1" applyAlignment="1"/>
    <xf numFmtId="0" fontId="16" fillId="23" borderId="0" xfId="0" applyFont="1" applyFill="1" applyBorder="1" applyAlignment="1"/>
    <xf numFmtId="0" fontId="0" fillId="3" borderId="81" xfId="0" applyFill="1" applyBorder="1"/>
    <xf numFmtId="0" fontId="5" fillId="0" borderId="82" xfId="0" applyFont="1" applyBorder="1" applyAlignment="1">
      <alignment horizontal="center"/>
    </xf>
    <xf numFmtId="0" fontId="5" fillId="0" borderId="80" xfId="0" applyFont="1" applyBorder="1" applyAlignment="1">
      <alignment horizontal="center"/>
    </xf>
    <xf numFmtId="0" fontId="13" fillId="22" borderId="83" xfId="0" applyFont="1" applyFill="1" applyBorder="1" applyAlignment="1">
      <alignment horizontal="center"/>
    </xf>
    <xf numFmtId="0" fontId="13" fillId="22" borderId="74" xfId="0" applyFont="1" applyFill="1" applyBorder="1" applyAlignment="1">
      <alignment horizontal="center"/>
    </xf>
    <xf numFmtId="0" fontId="13" fillId="22" borderId="75" xfId="0" applyFont="1" applyFill="1" applyBorder="1" applyAlignment="1">
      <alignment horizontal="center"/>
    </xf>
    <xf numFmtId="0" fontId="0" fillId="22" borderId="55" xfId="0" applyFill="1" applyBorder="1" applyAlignment="1"/>
    <xf numFmtId="0" fontId="16" fillId="18" borderId="84" xfId="0" applyFont="1" applyFill="1" applyBorder="1" applyAlignment="1">
      <alignment horizontal="center"/>
    </xf>
    <xf numFmtId="0" fontId="2" fillId="0" borderId="85" xfId="0" applyFont="1" applyBorder="1"/>
    <xf numFmtId="0" fontId="2" fillId="0" borderId="37" xfId="0" applyFont="1" applyBorder="1"/>
    <xf numFmtId="0" fontId="23" fillId="20" borderId="73" xfId="0" applyFont="1" applyFill="1" applyBorder="1"/>
    <xf numFmtId="0" fontId="22" fillId="22" borderId="86" xfId="0" applyFont="1" applyFill="1" applyBorder="1" applyAlignment="1">
      <alignment horizontal="center"/>
    </xf>
    <xf numFmtId="0" fontId="22" fillId="22" borderId="87" xfId="0" applyFont="1" applyFill="1" applyBorder="1" applyAlignment="1">
      <alignment horizontal="center"/>
    </xf>
    <xf numFmtId="0" fontId="22" fillId="22" borderId="88" xfId="0" applyFont="1" applyFill="1" applyBorder="1" applyAlignment="1">
      <alignment horizontal="center"/>
    </xf>
    <xf numFmtId="0" fontId="21" fillId="19" borderId="89" xfId="0" applyFont="1" applyFill="1" applyBorder="1"/>
    <xf numFmtId="0" fontId="24" fillId="21" borderId="90" xfId="0" applyFont="1" applyFill="1" applyBorder="1"/>
    <xf numFmtId="0" fontId="21" fillId="19" borderId="91" xfId="0" applyFont="1" applyFill="1" applyBorder="1"/>
    <xf numFmtId="0" fontId="23" fillId="20" borderId="92" xfId="0" applyFont="1" applyFill="1" applyBorder="1"/>
    <xf numFmtId="0" fontId="24" fillId="21" borderId="93" xfId="0" applyFont="1" applyFill="1" applyBorder="1"/>
    <xf numFmtId="0" fontId="0" fillId="5" borderId="94" xfId="0" applyFill="1" applyBorder="1"/>
    <xf numFmtId="0" fontId="5" fillId="0" borderId="95" xfId="0" applyFont="1" applyBorder="1" applyAlignment="1">
      <alignment horizontal="center"/>
    </xf>
    <xf numFmtId="0" fontId="5" fillId="0" borderId="96" xfId="0" applyFont="1" applyBorder="1" applyAlignment="1">
      <alignment horizontal="center"/>
    </xf>
    <xf numFmtId="0" fontId="4" fillId="22" borderId="83" xfId="0" applyFont="1" applyFill="1" applyBorder="1" applyAlignment="1">
      <alignment horizontal="center"/>
    </xf>
    <xf numFmtId="0" fontId="0" fillId="23" borderId="1" xfId="0" applyFill="1" applyBorder="1" applyAlignment="1">
      <alignment horizontal="center"/>
    </xf>
    <xf numFmtId="0" fontId="0" fillId="23" borderId="16" xfId="0" applyFill="1" applyBorder="1" applyAlignment="1">
      <alignment horizontal="center"/>
    </xf>
    <xf numFmtId="0" fontId="0" fillId="23" borderId="2" xfId="0" applyFill="1" applyBorder="1" applyAlignment="1">
      <alignment horizontal="center"/>
    </xf>
    <xf numFmtId="0" fontId="0" fillId="23" borderId="3" xfId="0" applyFill="1" applyBorder="1" applyAlignment="1">
      <alignment horizontal="center"/>
    </xf>
    <xf numFmtId="0" fontId="0" fillId="23" borderId="0" xfId="0" applyFill="1" applyAlignment="1">
      <alignment horizontal="center"/>
    </xf>
    <xf numFmtId="0" fontId="0" fillId="23" borderId="4" xfId="0" applyFill="1" applyBorder="1" applyAlignment="1">
      <alignment horizontal="center"/>
    </xf>
    <xf numFmtId="0" fontId="0" fillId="23" borderId="5" xfId="0" applyFill="1" applyBorder="1" applyAlignment="1">
      <alignment horizontal="center"/>
    </xf>
    <xf numFmtId="0" fontId="0" fillId="23" borderId="17" xfId="0" applyFill="1" applyBorder="1" applyAlignment="1">
      <alignment horizontal="center"/>
    </xf>
    <xf numFmtId="0" fontId="0" fillId="23" borderId="6" xfId="0" applyFill="1" applyBorder="1" applyAlignment="1">
      <alignment horizontal="center"/>
    </xf>
    <xf numFmtId="0" fontId="0" fillId="23" borderId="70" xfId="0" applyFill="1" applyBorder="1"/>
  </cellXfs>
  <cellStyles count="1">
    <cellStyle name="Normal" xfId="0" builtinId="0"/>
  </cellStyles>
  <dxfs count="73"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 patternType="solid">
          <bgColor theme="9" tint="-0.249977111117893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bgColor rgb="FF0070C0"/>
        </patternFill>
      </fill>
    </dxf>
    <dxf>
      <font>
        <color theme="0"/>
      </font>
      <fill>
        <patternFill patternType="solid">
          <bgColor rgb="FF00B0F0"/>
        </patternFill>
      </fill>
    </dxf>
    <dxf>
      <font>
        <color theme="0"/>
      </font>
      <fill>
        <patternFill patternType="solid">
          <bgColor rgb="FFFF0000"/>
        </patternFill>
      </fill>
    </dxf>
    <dxf>
      <font>
        <color theme="0"/>
      </font>
      <fill>
        <patternFill patternType="solid">
          <bgColor theme="9" tint="-0.249977111117893"/>
        </patternFill>
      </fill>
    </dxf>
    <dxf>
      <font>
        <color theme="0"/>
      </font>
      <fill>
        <patternFill patternType="solid"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 patternType="solid">
          <bgColor theme="9" tint="-0.249977111117893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 patternType="solid">
          <bgColor theme="9" tint="-0.249977111117893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bgColor rgb="FF0070C0"/>
        </patternFill>
      </fill>
    </dxf>
    <dxf>
      <font>
        <color theme="0"/>
      </font>
      <fill>
        <patternFill patternType="solid">
          <bgColor rgb="FF00B0F0"/>
        </patternFill>
      </fill>
    </dxf>
    <dxf>
      <font>
        <color theme="0"/>
      </font>
      <fill>
        <patternFill patternType="solid">
          <bgColor rgb="FFFF0000"/>
        </patternFill>
      </fill>
    </dxf>
    <dxf>
      <font>
        <color theme="0"/>
      </font>
      <fill>
        <patternFill patternType="solid">
          <bgColor theme="9" tint="-0.249977111117893"/>
        </patternFill>
      </fill>
    </dxf>
    <dxf>
      <font>
        <color theme="0"/>
      </font>
      <fill>
        <patternFill patternType="solid"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 patternType="solid">
          <bgColor theme="9" tint="-0.249977111117893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 patternType="solid">
          <bgColor theme="9" tint="-0.249977111117893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bgColor rgb="FF0070C0"/>
        </patternFill>
      </fill>
    </dxf>
    <dxf>
      <font>
        <color theme="0"/>
      </font>
      <fill>
        <patternFill patternType="solid">
          <bgColor rgb="FF00B0F0"/>
        </patternFill>
      </fill>
    </dxf>
    <dxf>
      <font>
        <color theme="0"/>
      </font>
      <fill>
        <patternFill patternType="solid">
          <bgColor rgb="FFFF0000"/>
        </patternFill>
      </fill>
    </dxf>
    <dxf>
      <font>
        <color theme="0"/>
      </font>
      <fill>
        <patternFill patternType="solid">
          <bgColor theme="9" tint="-0.249977111117893"/>
        </patternFill>
      </fill>
    </dxf>
    <dxf>
      <font>
        <color theme="0"/>
      </font>
      <fill>
        <patternFill patternType="solid"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 patternType="solid">
          <bgColor theme="9" tint="-0.249977111117893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 patternType="solid">
          <bgColor theme="9" tint="-0.249977111117893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 patternType="solid">
          <bgColor rgb="FF0070C0"/>
        </patternFill>
      </fill>
    </dxf>
    <dxf>
      <font>
        <color theme="0"/>
      </font>
      <fill>
        <patternFill patternType="solid">
          <bgColor rgb="FF00B0F0"/>
        </patternFill>
      </fill>
    </dxf>
    <dxf>
      <font>
        <color theme="0"/>
      </font>
      <fill>
        <patternFill patternType="solid">
          <bgColor rgb="FFFF0000"/>
        </patternFill>
      </fill>
    </dxf>
    <dxf>
      <font>
        <color theme="0"/>
      </font>
      <fill>
        <patternFill patternType="solid">
          <bgColor theme="9" tint="-0.249977111117893"/>
        </patternFill>
      </fill>
    </dxf>
    <dxf>
      <font>
        <color theme="0"/>
      </font>
      <fill>
        <patternFill patternType="solid"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 patternType="solid">
          <bgColor theme="9" tint="-0.249977111117893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B050"/>
        </patternFill>
      </fill>
    </dxf>
  </dxfs>
  <tableStyles count="0" defaultTableStyle="TableStyleMedium9" defaultPivotStyle="PivotStyleLight16"/>
  <colors>
    <mruColors>
      <color rgb="FFF67B16"/>
      <color rgb="FF10DA00"/>
      <color rgb="FFDB0BA0"/>
      <color rgb="FFF52FBC"/>
      <color rgb="FFF7923F"/>
      <color rgb="FF2AFF17"/>
      <color rgb="FFDEA900"/>
      <color rgb="FF02C623"/>
      <color rgb="FFEDB323"/>
      <color rgb="FFD0D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group 1</c:v>
          </c:tx>
          <c:spPr>
            <a:ln w="25400" cap="rnd">
              <a:solidFill>
                <a:srgbClr val="DB0BA0"/>
              </a:solidFill>
              <a:round/>
            </a:ln>
            <a:effectLst/>
          </c:spPr>
          <c:marker>
            <c:symbol val="none"/>
          </c:marker>
          <c:xVal>
            <c:numRef>
              <c:f>Temp!$A$18:$C$18</c:f>
              <c:numCache>
                <c:formatCode>General</c:formatCode>
                <c:ptCount val="3"/>
                <c:pt idx="0">
                  <c:v>-1</c:v>
                </c:pt>
                <c:pt idx="1">
                  <c:v>0</c:v>
                </c:pt>
                <c:pt idx="2">
                  <c:v>1</c:v>
                </c:pt>
              </c:numCache>
            </c:numRef>
          </c:xVal>
          <c:yVal>
            <c:numRef>
              <c:f>Temp!$A$19:$C$19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2AD-4C23-8BA4-9ECF8DE7121F}"/>
            </c:ext>
          </c:extLst>
        </c:ser>
        <c:ser>
          <c:idx val="1"/>
          <c:order val="1"/>
          <c:tx>
            <c:v>group 2</c:v>
          </c:tx>
          <c:spPr>
            <a:ln w="25400" cap="rnd">
              <a:solidFill>
                <a:srgbClr val="10DA00"/>
              </a:solidFill>
              <a:round/>
            </a:ln>
            <a:effectLst/>
          </c:spPr>
          <c:marker>
            <c:symbol val="none"/>
          </c:marker>
          <c:xVal>
            <c:numRef>
              <c:f>Temp!$A$18:$C$18</c:f>
              <c:numCache>
                <c:formatCode>General</c:formatCode>
                <c:ptCount val="3"/>
                <c:pt idx="0">
                  <c:v>-1</c:v>
                </c:pt>
                <c:pt idx="1">
                  <c:v>0</c:v>
                </c:pt>
                <c:pt idx="2">
                  <c:v>1</c:v>
                </c:pt>
              </c:numCache>
            </c:numRef>
          </c:xVal>
          <c:yVal>
            <c:numRef>
              <c:f>Temp!$A$20:$C$20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6F-4386-AC3E-50CA6C583A14}"/>
            </c:ext>
          </c:extLst>
        </c:ser>
        <c:ser>
          <c:idx val="2"/>
          <c:order val="2"/>
          <c:tx>
            <c:v>group 3</c:v>
          </c:tx>
          <c:spPr>
            <a:ln w="25400" cap="rnd">
              <a:solidFill>
                <a:srgbClr val="F67B16"/>
              </a:solidFill>
              <a:round/>
            </a:ln>
            <a:effectLst/>
          </c:spPr>
          <c:marker>
            <c:symbol val="none"/>
          </c:marker>
          <c:xVal>
            <c:numRef>
              <c:f>Temp!$A$18:$C$18</c:f>
              <c:numCache>
                <c:formatCode>General</c:formatCode>
                <c:ptCount val="3"/>
                <c:pt idx="0">
                  <c:v>-1</c:v>
                </c:pt>
                <c:pt idx="1">
                  <c:v>0</c:v>
                </c:pt>
                <c:pt idx="2">
                  <c:v>1</c:v>
                </c:pt>
              </c:numCache>
            </c:numRef>
          </c:xVal>
          <c:yVal>
            <c:numRef>
              <c:f>Temp!$A$21:$C$21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6F-4386-AC3E-50CA6C583A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825856"/>
        <c:axId val="110827776"/>
      </c:scatterChart>
      <c:valAx>
        <c:axId val="110825856"/>
        <c:scaling>
          <c:orientation val="minMax"/>
          <c:max val="1"/>
          <c:min val="-1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10827776"/>
        <c:crosses val="autoZero"/>
        <c:crossBetween val="midCat"/>
      </c:valAx>
      <c:valAx>
        <c:axId val="110827776"/>
        <c:scaling>
          <c:orientation val="minMax"/>
          <c:max val="90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10825856"/>
        <c:crosses val="autoZero"/>
        <c:crossBetween val="midCat"/>
      </c:valAx>
      <c:spPr>
        <a:solidFill>
          <a:schemeClr val="tx1"/>
        </a:solidFill>
        <a:ln w="2540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tx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0000000000000018" r="0.70000000000000018" t="0.78740157499999996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group 1</c:v>
          </c:tx>
          <c:spPr>
            <a:ln w="25400" cap="rnd">
              <a:solidFill>
                <a:srgbClr val="DB0BA0"/>
              </a:solidFill>
              <a:round/>
            </a:ln>
            <a:effectLst/>
          </c:spPr>
          <c:marker>
            <c:symbol val="none"/>
          </c:marker>
          <c:xVal>
            <c:numRef>
              <c:f>Temp!$G$18:$I$18</c:f>
              <c:numCache>
                <c:formatCode>General</c:formatCode>
                <c:ptCount val="3"/>
                <c:pt idx="0">
                  <c:v>-1</c:v>
                </c:pt>
                <c:pt idx="1">
                  <c:v>0</c:v>
                </c:pt>
                <c:pt idx="2">
                  <c:v>1</c:v>
                </c:pt>
              </c:numCache>
            </c:numRef>
          </c:xVal>
          <c:yVal>
            <c:numRef>
              <c:f>Temp!$G$19:$I$19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3D-47B5-A5AC-233DB2B71A8D}"/>
            </c:ext>
          </c:extLst>
        </c:ser>
        <c:ser>
          <c:idx val="1"/>
          <c:order val="1"/>
          <c:tx>
            <c:v>group 2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Temp!$G$18:$I$18</c:f>
              <c:numCache>
                <c:formatCode>General</c:formatCode>
                <c:ptCount val="3"/>
                <c:pt idx="0">
                  <c:v>-1</c:v>
                </c:pt>
                <c:pt idx="1">
                  <c:v>0</c:v>
                </c:pt>
                <c:pt idx="2">
                  <c:v>1</c:v>
                </c:pt>
              </c:numCache>
            </c:numRef>
          </c:xVal>
          <c:yVal>
            <c:numRef>
              <c:f>Temp!$G$20:$I$20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716-4699-84F8-747A0C858D58}"/>
            </c:ext>
          </c:extLst>
        </c:ser>
        <c:ser>
          <c:idx val="2"/>
          <c:order val="2"/>
          <c:tx>
            <c:v>group 3</c:v>
          </c:tx>
          <c:spPr>
            <a:ln w="2540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Temp!$G$18:$I$18</c:f>
              <c:numCache>
                <c:formatCode>General</c:formatCode>
                <c:ptCount val="3"/>
                <c:pt idx="0">
                  <c:v>-1</c:v>
                </c:pt>
                <c:pt idx="1">
                  <c:v>0</c:v>
                </c:pt>
                <c:pt idx="2">
                  <c:v>1</c:v>
                </c:pt>
              </c:numCache>
            </c:numRef>
          </c:xVal>
          <c:yVal>
            <c:numRef>
              <c:f>Temp!$G$21:$I$21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716-4699-84F8-747A0C858D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036672"/>
        <c:axId val="111116672"/>
      </c:scatterChart>
      <c:valAx>
        <c:axId val="111036672"/>
        <c:scaling>
          <c:orientation val="minMax"/>
          <c:max val="1"/>
          <c:min val="-1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11116672"/>
        <c:crosses val="autoZero"/>
        <c:crossBetween val="midCat"/>
      </c:valAx>
      <c:valAx>
        <c:axId val="111116672"/>
        <c:scaling>
          <c:orientation val="minMax"/>
          <c:max val="90"/>
          <c:min val="30"/>
        </c:scaling>
        <c:delete val="0"/>
        <c:axPos val="l"/>
        <c:majorGridlines>
          <c:spPr>
            <a:ln w="317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11036672"/>
        <c:crosses val="autoZero"/>
        <c:crossBetween val="midCat"/>
      </c:valAx>
      <c:spPr>
        <a:solidFill>
          <a:schemeClr val="tx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tx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000000000000004" r="0.7000000000000004" t="0.78740157499999996" header="0.30000000000000021" footer="0.3000000000000002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group 1</c:v>
          </c:tx>
          <c:spPr>
            <a:ln w="25400" cap="rnd">
              <a:solidFill>
                <a:srgbClr val="DB0BA0"/>
              </a:solidFill>
              <a:round/>
            </a:ln>
            <a:effectLst/>
          </c:spPr>
          <c:marker>
            <c:symbol val="none"/>
          </c:marker>
          <c:xVal>
            <c:numRef>
              <c:f>Temp!$G$2:$I$2</c:f>
              <c:numCache>
                <c:formatCode>General</c:formatCode>
                <c:ptCount val="3"/>
                <c:pt idx="0">
                  <c:v>-1</c:v>
                </c:pt>
                <c:pt idx="1">
                  <c:v>0</c:v>
                </c:pt>
                <c:pt idx="2">
                  <c:v>1</c:v>
                </c:pt>
              </c:numCache>
            </c:numRef>
          </c:xVal>
          <c:yVal>
            <c:numRef>
              <c:f>Temp!$G$3:$I$3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C73-4B78-BA3B-F1529ACFB4D9}"/>
            </c:ext>
          </c:extLst>
        </c:ser>
        <c:ser>
          <c:idx val="1"/>
          <c:order val="1"/>
          <c:tx>
            <c:v>group 2</c:v>
          </c:tx>
          <c:spPr>
            <a:ln w="25400" cap="rnd">
              <a:solidFill>
                <a:srgbClr val="10DA00"/>
              </a:solidFill>
              <a:round/>
            </a:ln>
            <a:effectLst/>
          </c:spPr>
          <c:marker>
            <c:symbol val="none"/>
          </c:marker>
          <c:xVal>
            <c:numRef>
              <c:f>Temp!$G$2:$I$2</c:f>
              <c:numCache>
                <c:formatCode>General</c:formatCode>
                <c:ptCount val="3"/>
                <c:pt idx="0">
                  <c:v>-1</c:v>
                </c:pt>
                <c:pt idx="1">
                  <c:v>0</c:v>
                </c:pt>
                <c:pt idx="2">
                  <c:v>1</c:v>
                </c:pt>
              </c:numCache>
            </c:numRef>
          </c:xVal>
          <c:yVal>
            <c:numRef>
              <c:f>Temp!$G$4:$I$4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C73-4B78-BA3B-F1529ACFB4D9}"/>
            </c:ext>
          </c:extLst>
        </c:ser>
        <c:ser>
          <c:idx val="2"/>
          <c:order val="2"/>
          <c:tx>
            <c:v>group 3</c:v>
          </c:tx>
          <c:spPr>
            <a:ln w="25400" cap="rnd">
              <a:solidFill>
                <a:srgbClr val="F67B16"/>
              </a:solidFill>
              <a:round/>
            </a:ln>
            <a:effectLst/>
          </c:spPr>
          <c:marker>
            <c:symbol val="none"/>
          </c:marker>
          <c:xVal>
            <c:numRef>
              <c:f>Temp!$G$2:$I$2</c:f>
              <c:numCache>
                <c:formatCode>General</c:formatCode>
                <c:ptCount val="3"/>
                <c:pt idx="0">
                  <c:v>-1</c:v>
                </c:pt>
                <c:pt idx="1">
                  <c:v>0</c:v>
                </c:pt>
                <c:pt idx="2">
                  <c:v>1</c:v>
                </c:pt>
              </c:numCache>
            </c:numRef>
          </c:xVal>
          <c:yVal>
            <c:numRef>
              <c:f>Temp!$G$5:$I$5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C73-4B78-BA3B-F1529ACFB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033664"/>
        <c:axId val="78035584"/>
      </c:scatterChart>
      <c:valAx>
        <c:axId val="78033664"/>
        <c:scaling>
          <c:orientation val="minMax"/>
          <c:max val="1"/>
          <c:min val="-1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78035584"/>
        <c:crosses val="autoZero"/>
        <c:crossBetween val="midCat"/>
      </c:valAx>
      <c:valAx>
        <c:axId val="78035584"/>
        <c:scaling>
          <c:orientation val="minMax"/>
          <c:max val="90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78033664"/>
        <c:crosses val="autoZero"/>
        <c:crossBetween val="midCat"/>
      </c:valAx>
      <c:spPr>
        <a:solidFill>
          <a:schemeClr val="tx1"/>
        </a:solidFill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tx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0000000000000018" r="0.70000000000000018" t="0.78740157499999996" header="0.3000000000000001" footer="0.300000000000000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group 1</c:v>
          </c:tx>
          <c:spPr>
            <a:ln w="28575" cap="rnd">
              <a:solidFill>
                <a:srgbClr val="DB0BA0"/>
              </a:solidFill>
              <a:round/>
            </a:ln>
            <a:effectLst/>
          </c:spPr>
          <c:marker>
            <c:symbol val="none"/>
          </c:marker>
          <c:xVal>
            <c:numRef>
              <c:f>Temp!$A$2:$C$2</c:f>
              <c:numCache>
                <c:formatCode>General</c:formatCode>
                <c:ptCount val="3"/>
                <c:pt idx="0">
                  <c:v>-1</c:v>
                </c:pt>
                <c:pt idx="1">
                  <c:v>0</c:v>
                </c:pt>
                <c:pt idx="2">
                  <c:v>1</c:v>
                </c:pt>
              </c:numCache>
            </c:numRef>
          </c:xVal>
          <c:yVal>
            <c:numRef>
              <c:f>Temp!$A$3:$C$3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28-4A1F-B834-470AC732D111}"/>
            </c:ext>
          </c:extLst>
        </c:ser>
        <c:ser>
          <c:idx val="1"/>
          <c:order val="1"/>
          <c:tx>
            <c:v>group 2</c:v>
          </c:tx>
          <c:spPr>
            <a:ln w="25400" cap="rnd">
              <a:solidFill>
                <a:srgbClr val="10DA00"/>
              </a:solidFill>
              <a:round/>
            </a:ln>
            <a:effectLst/>
          </c:spPr>
          <c:marker>
            <c:symbol val="none"/>
          </c:marker>
          <c:xVal>
            <c:numRef>
              <c:f>Temp!$A$2:$C$2</c:f>
              <c:numCache>
                <c:formatCode>General</c:formatCode>
                <c:ptCount val="3"/>
                <c:pt idx="0">
                  <c:v>-1</c:v>
                </c:pt>
                <c:pt idx="1">
                  <c:v>0</c:v>
                </c:pt>
                <c:pt idx="2">
                  <c:v>1</c:v>
                </c:pt>
              </c:numCache>
            </c:numRef>
          </c:xVal>
          <c:yVal>
            <c:numRef>
              <c:f>Temp!$A$4:$C$4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28-4A1F-B834-470AC732D111}"/>
            </c:ext>
          </c:extLst>
        </c:ser>
        <c:ser>
          <c:idx val="2"/>
          <c:order val="2"/>
          <c:tx>
            <c:v>group 3</c:v>
          </c:tx>
          <c:spPr>
            <a:ln w="25400" cap="rnd">
              <a:solidFill>
                <a:srgbClr val="F67B16"/>
              </a:solidFill>
              <a:round/>
            </a:ln>
            <a:effectLst/>
          </c:spPr>
          <c:marker>
            <c:symbol val="none"/>
          </c:marker>
          <c:xVal>
            <c:numRef>
              <c:f>Temp!$A$2:$C$2</c:f>
              <c:numCache>
                <c:formatCode>General</c:formatCode>
                <c:ptCount val="3"/>
                <c:pt idx="0">
                  <c:v>-1</c:v>
                </c:pt>
                <c:pt idx="1">
                  <c:v>0</c:v>
                </c:pt>
                <c:pt idx="2">
                  <c:v>1</c:v>
                </c:pt>
              </c:numCache>
            </c:numRef>
          </c:xVal>
          <c:yVal>
            <c:numRef>
              <c:f>Temp!$A$5:$C$5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28-4A1F-B834-470AC732D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24512"/>
        <c:axId val="74785536"/>
      </c:scatterChart>
      <c:valAx>
        <c:axId val="73824512"/>
        <c:scaling>
          <c:orientation val="minMax"/>
          <c:max val="1"/>
          <c:min val="-1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74785536"/>
        <c:crosses val="autoZero"/>
        <c:crossBetween val="midCat"/>
      </c:valAx>
      <c:valAx>
        <c:axId val="74785536"/>
        <c:scaling>
          <c:orientation val="minMax"/>
          <c:max val="90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73824512"/>
        <c:crosses val="autoZero"/>
        <c:crossBetween val="midCat"/>
      </c:valAx>
      <c:spPr>
        <a:solidFill>
          <a:schemeClr val="tx1"/>
        </a:solidFill>
        <a:ln w="2540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tx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checked="Checked" fmlaLink="$M$2" lockText="1" noThreeD="1"/>
</file>

<file path=xl/ctrlProps/ctrlProp2.xml><?xml version="1.0" encoding="utf-8"?>
<formControlPr xmlns="http://schemas.microsoft.com/office/spreadsheetml/2009/9/main" objectType="CheckBox" fmlaLink="$M$3" lockText="1" noThreeD="1"/>
</file>

<file path=xl/ctrlProps/ctrlProp3.xml><?xml version="1.0" encoding="utf-8"?>
<formControlPr xmlns="http://schemas.microsoft.com/office/spreadsheetml/2009/9/main" objectType="CheckBox" fmlaLink="$M$4" lockText="1" noThreeD="1"/>
</file>

<file path=xl/ctrlProps/ctrlProp4.xml><?xml version="1.0" encoding="utf-8"?>
<formControlPr xmlns="http://schemas.microsoft.com/office/spreadsheetml/2009/9/main" objectType="CheckBox" fmlaLink="$M$5" lockText="1" noThreeD="1"/>
</file>

<file path=xl/ctrlProps/ctrlProp5.xml><?xml version="1.0" encoding="utf-8"?>
<formControlPr xmlns="http://schemas.microsoft.com/office/spreadsheetml/2009/9/main" objectType="CheckBox" fmlaLink="$M$6" lockText="1" noThreeD="1"/>
</file>

<file path=xl/ctrlProps/ctrlProp6.xml><?xml version="1.0" encoding="utf-8"?>
<formControlPr xmlns="http://schemas.microsoft.com/office/spreadsheetml/2009/9/main" objectType="CheckBox" fmlaLink="$M$7" lockText="1" noThreeD="1"/>
</file>

<file path=xl/ctrlProps/ctrlProp7.xml><?xml version="1.0" encoding="utf-8"?>
<formControlPr xmlns="http://schemas.microsoft.com/office/spreadsheetml/2009/9/main" objectType="CheckBox" fmlaLink="$M$8" lockText="1" noThreeD="1"/>
</file>

<file path=xl/ctrlProps/ctrlProp8.xml><?xml version="1.0" encoding="utf-8"?>
<formControlPr xmlns="http://schemas.microsoft.com/office/spreadsheetml/2009/9/main" objectType="CheckBox" fmlaLink="$M$9" lockText="1" noThreeD="1"/>
</file>

<file path=xl/ctrlProps/ctrlProp9.xml><?xml version="1.0" encoding="utf-8"?>
<formControlPr xmlns="http://schemas.microsoft.com/office/spreadsheetml/2009/9/main" objectType="CheckBox" fmlaLink="$M$10" lockText="1" noThreeD="1"/>
</file>

<file path=xl/ctrlProps/ctrlProp10.xml><?xml version="1.0" encoding="utf-8"?>
<formControlPr xmlns="http://schemas.microsoft.com/office/spreadsheetml/2009/9/main" objectType="CheckBox" fmlaLink="$M$11" lockText="1" noThreeD="1"/>
</file>

<file path=xl/ctrlProps/ctrlProp11.xml><?xml version="1.0" encoding="utf-8"?>
<formControlPr xmlns="http://schemas.microsoft.com/office/spreadsheetml/2009/9/main" objectType="CheckBox" fmlaLink="$M$12" lockText="1" noThreeD="1"/>
</file>

<file path=xl/ctrlProps/ctrlProp12.xml><?xml version="1.0" encoding="utf-8"?>
<formControlPr xmlns="http://schemas.microsoft.com/office/spreadsheetml/2009/9/main" objectType="CheckBox" fmlaLink="$M$13" lockText="1" noThreeD="1"/>
</file>

<file path=xl/ctrlProps/ctrlProp13.xml><?xml version="1.0" encoding="utf-8"?>
<formControlPr xmlns="http://schemas.microsoft.com/office/spreadsheetml/2009/9/main" objectType="CheckBox" fmlaLink="$N$2" lockText="1" noThreeD="1"/>
</file>

<file path=xl/ctrlProps/ctrlProp14.xml><?xml version="1.0" encoding="utf-8"?>
<formControlPr xmlns="http://schemas.microsoft.com/office/spreadsheetml/2009/9/main" objectType="CheckBox" checked="Checked" fmlaLink="$N$3" lockText="1" noThreeD="1"/>
</file>

<file path=xl/ctrlProps/ctrlProp15.xml><?xml version="1.0" encoding="utf-8"?>
<formControlPr xmlns="http://schemas.microsoft.com/office/spreadsheetml/2009/9/main" objectType="CheckBox" fmlaLink="$N$4" lockText="1" noThreeD="1"/>
</file>

<file path=xl/ctrlProps/ctrlProp16.xml><?xml version="1.0" encoding="utf-8"?>
<formControlPr xmlns="http://schemas.microsoft.com/office/spreadsheetml/2009/9/main" objectType="CheckBox" fmlaLink="$N$5" lockText="1" noThreeD="1"/>
</file>

<file path=xl/ctrlProps/ctrlProp17.xml><?xml version="1.0" encoding="utf-8"?>
<formControlPr xmlns="http://schemas.microsoft.com/office/spreadsheetml/2009/9/main" objectType="CheckBox" fmlaLink="$N$6" lockText="1" noThreeD="1"/>
</file>

<file path=xl/ctrlProps/ctrlProp18.xml><?xml version="1.0" encoding="utf-8"?>
<formControlPr xmlns="http://schemas.microsoft.com/office/spreadsheetml/2009/9/main" objectType="CheckBox" fmlaLink="$N$7" lockText="1" noThreeD="1"/>
</file>

<file path=xl/ctrlProps/ctrlProp19.xml><?xml version="1.0" encoding="utf-8"?>
<formControlPr xmlns="http://schemas.microsoft.com/office/spreadsheetml/2009/9/main" objectType="CheckBox" fmlaLink="$N$8" lockText="1" noThreeD="1"/>
</file>

<file path=xl/ctrlProps/ctrlProp20.xml><?xml version="1.0" encoding="utf-8"?>
<formControlPr xmlns="http://schemas.microsoft.com/office/spreadsheetml/2009/9/main" objectType="CheckBox" fmlaLink="$N$9" lockText="1" noThreeD="1"/>
</file>

<file path=xl/ctrlProps/ctrlProp21.xml><?xml version="1.0" encoding="utf-8"?>
<formControlPr xmlns="http://schemas.microsoft.com/office/spreadsheetml/2009/9/main" objectType="CheckBox" fmlaLink="$N$10" lockText="1" noThreeD="1"/>
</file>

<file path=xl/ctrlProps/ctrlProp22.xml><?xml version="1.0" encoding="utf-8"?>
<formControlPr xmlns="http://schemas.microsoft.com/office/spreadsheetml/2009/9/main" objectType="CheckBox" fmlaLink="$N$11" lockText="1" noThreeD="1"/>
</file>

<file path=xl/ctrlProps/ctrlProp23.xml><?xml version="1.0" encoding="utf-8"?>
<formControlPr xmlns="http://schemas.microsoft.com/office/spreadsheetml/2009/9/main" objectType="CheckBox" fmlaLink="$N$12" lockText="1" noThreeD="1"/>
</file>

<file path=xl/ctrlProps/ctrlProp24.xml><?xml version="1.0" encoding="utf-8"?>
<formControlPr xmlns="http://schemas.microsoft.com/office/spreadsheetml/2009/9/main" objectType="CheckBox" fmlaLink="$N$13" lockText="1" noThreeD="1"/>
</file>

<file path=xl/ctrlProps/ctrlProp25.xml><?xml version="1.0" encoding="utf-8"?>
<formControlPr xmlns="http://schemas.microsoft.com/office/spreadsheetml/2009/9/main" objectType="CheckBox" fmlaLink="$O$2" lockText="1" noThreeD="1"/>
</file>

<file path=xl/ctrlProps/ctrlProp26.xml><?xml version="1.0" encoding="utf-8"?>
<formControlPr xmlns="http://schemas.microsoft.com/office/spreadsheetml/2009/9/main" objectType="CheckBox" fmlaLink="$O$3" lockText="1" noThreeD="1"/>
</file>

<file path=xl/ctrlProps/ctrlProp27.xml><?xml version="1.0" encoding="utf-8"?>
<formControlPr xmlns="http://schemas.microsoft.com/office/spreadsheetml/2009/9/main" objectType="CheckBox" checked="Checked" fmlaLink="$O$4" lockText="1" noThreeD="1"/>
</file>

<file path=xl/ctrlProps/ctrlProp28.xml><?xml version="1.0" encoding="utf-8"?>
<formControlPr xmlns="http://schemas.microsoft.com/office/spreadsheetml/2009/9/main" objectType="CheckBox" fmlaLink="$O$5" lockText="1" noThreeD="1"/>
</file>

<file path=xl/ctrlProps/ctrlProp29.xml><?xml version="1.0" encoding="utf-8"?>
<formControlPr xmlns="http://schemas.microsoft.com/office/spreadsheetml/2009/9/main" objectType="CheckBox" fmlaLink="$O$6" lockText="1" noThreeD="1"/>
</file>

<file path=xl/ctrlProps/ctrlProp30.xml><?xml version="1.0" encoding="utf-8"?>
<formControlPr xmlns="http://schemas.microsoft.com/office/spreadsheetml/2009/9/main" objectType="CheckBox" fmlaLink="$O$7" lockText="1" noThreeD="1"/>
</file>

<file path=xl/ctrlProps/ctrlProp31.xml><?xml version="1.0" encoding="utf-8"?>
<formControlPr xmlns="http://schemas.microsoft.com/office/spreadsheetml/2009/9/main" objectType="CheckBox" fmlaLink="$O$8" lockText="1" noThreeD="1"/>
</file>

<file path=xl/ctrlProps/ctrlProp32.xml><?xml version="1.0" encoding="utf-8"?>
<formControlPr xmlns="http://schemas.microsoft.com/office/spreadsheetml/2009/9/main" objectType="CheckBox" fmlaLink="$O$9" lockText="1" noThreeD="1"/>
</file>

<file path=xl/ctrlProps/ctrlProp33.xml><?xml version="1.0" encoding="utf-8"?>
<formControlPr xmlns="http://schemas.microsoft.com/office/spreadsheetml/2009/9/main" objectType="CheckBox" fmlaLink="$O$10" lockText="1" noThreeD="1"/>
</file>

<file path=xl/ctrlProps/ctrlProp34.xml><?xml version="1.0" encoding="utf-8"?>
<formControlPr xmlns="http://schemas.microsoft.com/office/spreadsheetml/2009/9/main" objectType="CheckBox" fmlaLink="$O$11" lockText="1" noThreeD="1"/>
</file>

<file path=xl/ctrlProps/ctrlProp35.xml><?xml version="1.0" encoding="utf-8"?>
<formControlPr xmlns="http://schemas.microsoft.com/office/spreadsheetml/2009/9/main" objectType="CheckBox" fmlaLink="$O$12" lockText="1" noThreeD="1"/>
</file>

<file path=xl/ctrlProps/ctrlProp36.xml><?xml version="1.0" encoding="utf-8"?>
<formControlPr xmlns="http://schemas.microsoft.com/office/spreadsheetml/2009/9/main" objectType="CheckBox" fmlaLink="$O$13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21</xdr:row>
      <xdr:rowOff>19050</xdr:rowOff>
    </xdr:from>
    <xdr:to>
      <xdr:col>5</xdr:col>
      <xdr:colOff>748061</xdr:colOff>
      <xdr:row>31</xdr:row>
      <xdr:rowOff>185853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000-000006000000}"/>
            </a:ext>
            <a:ext uri="{147F2762-F138-4A5C-976F-8EAC2B608ADB}">
              <a16:predDERef xmlns:a16="http://schemas.microsoft.com/office/drawing/2014/main" pre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747346</xdr:colOff>
      <xdr:row>21</xdr:row>
      <xdr:rowOff>19048</xdr:rowOff>
    </xdr:from>
    <xdr:to>
      <xdr:col>11</xdr:col>
      <xdr:colOff>765810</xdr:colOff>
      <xdr:row>31</xdr:row>
      <xdr:rowOff>182880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00000000-0008-0000-0000-000007000000}"/>
            </a:ext>
            <a:ext uri="{147F2762-F138-4A5C-976F-8EAC2B608ADB}">
              <a16:predDERef xmlns:a16="http://schemas.microsoft.com/office/drawing/2014/main" pre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333375</xdr:colOff>
      <xdr:row>33</xdr:row>
      <xdr:rowOff>28575</xdr:rowOff>
    </xdr:from>
    <xdr:to>
      <xdr:col>13</xdr:col>
      <xdr:colOff>142875</xdr:colOff>
      <xdr:row>38</xdr:row>
      <xdr:rowOff>38100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  <a:ext uri="{147F2762-F138-4A5C-976F-8EAC2B608ADB}">
              <a16:predDERef xmlns:a16="http://schemas.microsoft.com/office/drawing/2014/main" pre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57375" y="6496050"/>
          <a:ext cx="8810625" cy="9620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</xdr:row>
          <xdr:rowOff>0</xdr:rowOff>
        </xdr:from>
        <xdr:to>
          <xdr:col>13</xdr:col>
          <xdr:colOff>732</xdr:colOff>
          <xdr:row>2</xdr:row>
          <xdr:rowOff>9525</xdr:rowOff>
        </xdr:to>
        <xdr:sp macro="" textlink="">
          <xdr:nvSpPr>
            <xdr:cNvPr id="1283" name="graph1_log1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0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</xdr:row>
          <xdr:rowOff>0</xdr:rowOff>
        </xdr:from>
        <xdr:to>
          <xdr:col>13</xdr:col>
          <xdr:colOff>732</xdr:colOff>
          <xdr:row>3</xdr:row>
          <xdr:rowOff>9525</xdr:rowOff>
        </xdr:to>
        <xdr:sp macro="" textlink="">
          <xdr:nvSpPr>
            <xdr:cNvPr id="1284" name="graph1_log2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0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</xdr:row>
          <xdr:rowOff>0</xdr:rowOff>
        </xdr:from>
        <xdr:to>
          <xdr:col>13</xdr:col>
          <xdr:colOff>732</xdr:colOff>
          <xdr:row>4</xdr:row>
          <xdr:rowOff>9525</xdr:rowOff>
        </xdr:to>
        <xdr:sp macro="" textlink="">
          <xdr:nvSpPr>
            <xdr:cNvPr id="1285" name="graph1_log3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0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</xdr:row>
          <xdr:rowOff>0</xdr:rowOff>
        </xdr:from>
        <xdr:to>
          <xdr:col>13</xdr:col>
          <xdr:colOff>732</xdr:colOff>
          <xdr:row>5</xdr:row>
          <xdr:rowOff>9525</xdr:rowOff>
        </xdr:to>
        <xdr:sp macro="" textlink="">
          <xdr:nvSpPr>
            <xdr:cNvPr id="1286" name="graph1_log4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0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5</xdr:row>
          <xdr:rowOff>0</xdr:rowOff>
        </xdr:from>
        <xdr:to>
          <xdr:col>13</xdr:col>
          <xdr:colOff>732</xdr:colOff>
          <xdr:row>6</xdr:row>
          <xdr:rowOff>19050</xdr:rowOff>
        </xdr:to>
        <xdr:sp macro="" textlink="">
          <xdr:nvSpPr>
            <xdr:cNvPr id="1287" name="graph1_log5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0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6</xdr:row>
          <xdr:rowOff>0</xdr:rowOff>
        </xdr:from>
        <xdr:to>
          <xdr:col>13</xdr:col>
          <xdr:colOff>732</xdr:colOff>
          <xdr:row>7</xdr:row>
          <xdr:rowOff>19050</xdr:rowOff>
        </xdr:to>
        <xdr:sp macro="" textlink="">
          <xdr:nvSpPr>
            <xdr:cNvPr id="1288" name="graph1_log6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0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7</xdr:row>
          <xdr:rowOff>0</xdr:rowOff>
        </xdr:from>
        <xdr:to>
          <xdr:col>13</xdr:col>
          <xdr:colOff>732</xdr:colOff>
          <xdr:row>8</xdr:row>
          <xdr:rowOff>19050</xdr:rowOff>
        </xdr:to>
        <xdr:sp macro="" textlink="">
          <xdr:nvSpPr>
            <xdr:cNvPr id="1289" name="graph1_log7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0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8</xdr:row>
          <xdr:rowOff>0</xdr:rowOff>
        </xdr:from>
        <xdr:to>
          <xdr:col>13</xdr:col>
          <xdr:colOff>732</xdr:colOff>
          <xdr:row>9</xdr:row>
          <xdr:rowOff>19050</xdr:rowOff>
        </xdr:to>
        <xdr:sp macro="" textlink="">
          <xdr:nvSpPr>
            <xdr:cNvPr id="1290" name="graph1_log8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0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9</xdr:row>
          <xdr:rowOff>0</xdr:rowOff>
        </xdr:from>
        <xdr:to>
          <xdr:col>13</xdr:col>
          <xdr:colOff>732</xdr:colOff>
          <xdr:row>10</xdr:row>
          <xdr:rowOff>19050</xdr:rowOff>
        </xdr:to>
        <xdr:sp macro="" textlink="">
          <xdr:nvSpPr>
            <xdr:cNvPr id="1291" name="graph1_log9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0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10</xdr:row>
          <xdr:rowOff>0</xdr:rowOff>
        </xdr:from>
        <xdr:to>
          <xdr:col>13</xdr:col>
          <xdr:colOff>732</xdr:colOff>
          <xdr:row>11</xdr:row>
          <xdr:rowOff>19050</xdr:rowOff>
        </xdr:to>
        <xdr:sp macro="" textlink="">
          <xdr:nvSpPr>
            <xdr:cNvPr id="1292" name="graph1_log10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0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11</xdr:row>
          <xdr:rowOff>0</xdr:rowOff>
        </xdr:from>
        <xdr:to>
          <xdr:col>13</xdr:col>
          <xdr:colOff>732</xdr:colOff>
          <xdr:row>12</xdr:row>
          <xdr:rowOff>9525</xdr:rowOff>
        </xdr:to>
        <xdr:sp macro="" textlink="">
          <xdr:nvSpPr>
            <xdr:cNvPr id="1293" name="graph1_log11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0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12</xdr:row>
          <xdr:rowOff>0</xdr:rowOff>
        </xdr:from>
        <xdr:to>
          <xdr:col>13</xdr:col>
          <xdr:colOff>732</xdr:colOff>
          <xdr:row>13</xdr:row>
          <xdr:rowOff>9525</xdr:rowOff>
        </xdr:to>
        <xdr:sp macro="" textlink="">
          <xdr:nvSpPr>
            <xdr:cNvPr id="1294" name="graph1_log12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0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</xdr:row>
          <xdr:rowOff>0</xdr:rowOff>
        </xdr:from>
        <xdr:to>
          <xdr:col>14</xdr:col>
          <xdr:colOff>0</xdr:colOff>
          <xdr:row>2</xdr:row>
          <xdr:rowOff>9525</xdr:rowOff>
        </xdr:to>
        <xdr:sp macro="" textlink="">
          <xdr:nvSpPr>
            <xdr:cNvPr id="1295" name="graph2_log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0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0</xdr:colOff>
          <xdr:row>3</xdr:row>
          <xdr:rowOff>9525</xdr:rowOff>
        </xdr:to>
        <xdr:sp macro="" textlink="">
          <xdr:nvSpPr>
            <xdr:cNvPr id="1296" name="graph2_log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0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</xdr:row>
          <xdr:rowOff>0</xdr:rowOff>
        </xdr:from>
        <xdr:to>
          <xdr:col>14</xdr:col>
          <xdr:colOff>0</xdr:colOff>
          <xdr:row>4</xdr:row>
          <xdr:rowOff>9525</xdr:rowOff>
        </xdr:to>
        <xdr:sp macro="" textlink="">
          <xdr:nvSpPr>
            <xdr:cNvPr id="1297" name="graph2_log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0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0</xdr:colOff>
          <xdr:row>5</xdr:row>
          <xdr:rowOff>9525</xdr:rowOff>
        </xdr:to>
        <xdr:sp macro="" textlink="">
          <xdr:nvSpPr>
            <xdr:cNvPr id="1298" name="graph2_log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0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5</xdr:row>
          <xdr:rowOff>0</xdr:rowOff>
        </xdr:from>
        <xdr:to>
          <xdr:col>14</xdr:col>
          <xdr:colOff>0</xdr:colOff>
          <xdr:row>6</xdr:row>
          <xdr:rowOff>19050</xdr:rowOff>
        </xdr:to>
        <xdr:sp macro="" textlink="">
          <xdr:nvSpPr>
            <xdr:cNvPr id="1299" name="graph2_log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0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6</xdr:row>
          <xdr:rowOff>0</xdr:rowOff>
        </xdr:from>
        <xdr:to>
          <xdr:col>14</xdr:col>
          <xdr:colOff>0</xdr:colOff>
          <xdr:row>7</xdr:row>
          <xdr:rowOff>19050</xdr:rowOff>
        </xdr:to>
        <xdr:sp macro="" textlink="">
          <xdr:nvSpPr>
            <xdr:cNvPr id="1300" name="graph2_log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0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7</xdr:row>
          <xdr:rowOff>0</xdr:rowOff>
        </xdr:from>
        <xdr:to>
          <xdr:col>14</xdr:col>
          <xdr:colOff>0</xdr:colOff>
          <xdr:row>8</xdr:row>
          <xdr:rowOff>19050</xdr:rowOff>
        </xdr:to>
        <xdr:sp macro="" textlink="">
          <xdr:nvSpPr>
            <xdr:cNvPr id="1301" name="graph2_log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0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8</xdr:row>
          <xdr:rowOff>0</xdr:rowOff>
        </xdr:from>
        <xdr:to>
          <xdr:col>14</xdr:col>
          <xdr:colOff>0</xdr:colOff>
          <xdr:row>9</xdr:row>
          <xdr:rowOff>19050</xdr:rowOff>
        </xdr:to>
        <xdr:sp macro="" textlink="">
          <xdr:nvSpPr>
            <xdr:cNvPr id="1302" name="graph2_log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0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9</xdr:row>
          <xdr:rowOff>0</xdr:rowOff>
        </xdr:from>
        <xdr:to>
          <xdr:col>14</xdr:col>
          <xdr:colOff>0</xdr:colOff>
          <xdr:row>10</xdr:row>
          <xdr:rowOff>19050</xdr:rowOff>
        </xdr:to>
        <xdr:sp macro="" textlink="">
          <xdr:nvSpPr>
            <xdr:cNvPr id="1303" name="graph2_log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0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10</xdr:row>
          <xdr:rowOff>0</xdr:rowOff>
        </xdr:from>
        <xdr:to>
          <xdr:col>14</xdr:col>
          <xdr:colOff>0</xdr:colOff>
          <xdr:row>11</xdr:row>
          <xdr:rowOff>19050</xdr:rowOff>
        </xdr:to>
        <xdr:sp macro="" textlink="">
          <xdr:nvSpPr>
            <xdr:cNvPr id="1304" name="graph2_log1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0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11</xdr:row>
          <xdr:rowOff>0</xdr:rowOff>
        </xdr:from>
        <xdr:to>
          <xdr:col>14</xdr:col>
          <xdr:colOff>0</xdr:colOff>
          <xdr:row>12</xdr:row>
          <xdr:rowOff>9525</xdr:rowOff>
        </xdr:to>
        <xdr:sp macro="" textlink="">
          <xdr:nvSpPr>
            <xdr:cNvPr id="1305" name="graph2_log1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0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12</xdr:row>
          <xdr:rowOff>0</xdr:rowOff>
        </xdr:from>
        <xdr:to>
          <xdr:col>14</xdr:col>
          <xdr:colOff>0</xdr:colOff>
          <xdr:row>13</xdr:row>
          <xdr:rowOff>9525</xdr:rowOff>
        </xdr:to>
        <xdr:sp macro="" textlink="">
          <xdr:nvSpPr>
            <xdr:cNvPr id="1306" name="graph2_log1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0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</xdr:row>
          <xdr:rowOff>0</xdr:rowOff>
        </xdr:from>
        <xdr:to>
          <xdr:col>14</xdr:col>
          <xdr:colOff>1359775</xdr:colOff>
          <xdr:row>2</xdr:row>
          <xdr:rowOff>9525</xdr:rowOff>
        </xdr:to>
        <xdr:sp macro="" textlink="">
          <xdr:nvSpPr>
            <xdr:cNvPr id="1307" name="graph3_log1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0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</xdr:row>
          <xdr:rowOff>0</xdr:rowOff>
        </xdr:from>
        <xdr:to>
          <xdr:col>14</xdr:col>
          <xdr:colOff>1359775</xdr:colOff>
          <xdr:row>3</xdr:row>
          <xdr:rowOff>9525</xdr:rowOff>
        </xdr:to>
        <xdr:sp macro="" textlink="">
          <xdr:nvSpPr>
            <xdr:cNvPr id="1308" name="graph3_log2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0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</xdr:row>
          <xdr:rowOff>0</xdr:rowOff>
        </xdr:from>
        <xdr:to>
          <xdr:col>14</xdr:col>
          <xdr:colOff>1359775</xdr:colOff>
          <xdr:row>4</xdr:row>
          <xdr:rowOff>9525</xdr:rowOff>
        </xdr:to>
        <xdr:sp macro="" textlink="">
          <xdr:nvSpPr>
            <xdr:cNvPr id="1309" name="graph3_log3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0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</xdr:row>
          <xdr:rowOff>0</xdr:rowOff>
        </xdr:from>
        <xdr:to>
          <xdr:col>14</xdr:col>
          <xdr:colOff>1359775</xdr:colOff>
          <xdr:row>5</xdr:row>
          <xdr:rowOff>9525</xdr:rowOff>
        </xdr:to>
        <xdr:sp macro="" textlink="">
          <xdr:nvSpPr>
            <xdr:cNvPr id="1310" name="graph3_log4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0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5</xdr:row>
          <xdr:rowOff>0</xdr:rowOff>
        </xdr:from>
        <xdr:to>
          <xdr:col>14</xdr:col>
          <xdr:colOff>1359775</xdr:colOff>
          <xdr:row>6</xdr:row>
          <xdr:rowOff>19050</xdr:rowOff>
        </xdr:to>
        <xdr:sp macro="" textlink="">
          <xdr:nvSpPr>
            <xdr:cNvPr id="1311" name="graph3_log5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0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6</xdr:row>
          <xdr:rowOff>0</xdr:rowOff>
        </xdr:from>
        <xdr:to>
          <xdr:col>14</xdr:col>
          <xdr:colOff>1359775</xdr:colOff>
          <xdr:row>7</xdr:row>
          <xdr:rowOff>19050</xdr:rowOff>
        </xdr:to>
        <xdr:sp macro="" textlink="">
          <xdr:nvSpPr>
            <xdr:cNvPr id="1312" name="graph3_log6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0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</xdr:row>
          <xdr:rowOff>0</xdr:rowOff>
        </xdr:from>
        <xdr:to>
          <xdr:col>14</xdr:col>
          <xdr:colOff>1359775</xdr:colOff>
          <xdr:row>8</xdr:row>
          <xdr:rowOff>19050</xdr:rowOff>
        </xdr:to>
        <xdr:sp macro="" textlink="">
          <xdr:nvSpPr>
            <xdr:cNvPr id="1313" name="graph3_log7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0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8</xdr:row>
          <xdr:rowOff>0</xdr:rowOff>
        </xdr:from>
        <xdr:to>
          <xdr:col>14</xdr:col>
          <xdr:colOff>1359775</xdr:colOff>
          <xdr:row>9</xdr:row>
          <xdr:rowOff>19050</xdr:rowOff>
        </xdr:to>
        <xdr:sp macro="" textlink="">
          <xdr:nvSpPr>
            <xdr:cNvPr id="1314" name="graph3_log8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0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9</xdr:row>
          <xdr:rowOff>0</xdr:rowOff>
        </xdr:from>
        <xdr:to>
          <xdr:col>14</xdr:col>
          <xdr:colOff>1359775</xdr:colOff>
          <xdr:row>10</xdr:row>
          <xdr:rowOff>19050</xdr:rowOff>
        </xdr:to>
        <xdr:sp macro="" textlink="">
          <xdr:nvSpPr>
            <xdr:cNvPr id="1315" name="graph3_log9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0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10</xdr:row>
          <xdr:rowOff>0</xdr:rowOff>
        </xdr:from>
        <xdr:to>
          <xdr:col>14</xdr:col>
          <xdr:colOff>1359775</xdr:colOff>
          <xdr:row>11</xdr:row>
          <xdr:rowOff>19050</xdr:rowOff>
        </xdr:to>
        <xdr:sp macro="" textlink="">
          <xdr:nvSpPr>
            <xdr:cNvPr id="1316" name="graph3_log10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0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11</xdr:row>
          <xdr:rowOff>0</xdr:rowOff>
        </xdr:from>
        <xdr:to>
          <xdr:col>14</xdr:col>
          <xdr:colOff>1359775</xdr:colOff>
          <xdr:row>12</xdr:row>
          <xdr:rowOff>9525</xdr:rowOff>
        </xdr:to>
        <xdr:sp macro="" textlink="">
          <xdr:nvSpPr>
            <xdr:cNvPr id="1317" name="graph3_log11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0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12</xdr:row>
          <xdr:rowOff>0</xdr:rowOff>
        </xdr:from>
        <xdr:to>
          <xdr:col>14</xdr:col>
          <xdr:colOff>1359775</xdr:colOff>
          <xdr:row>13</xdr:row>
          <xdr:rowOff>9525</xdr:rowOff>
        </xdr:to>
        <xdr:sp macro="" textlink="">
          <xdr:nvSpPr>
            <xdr:cNvPr id="1318" name="graph3_log12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0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0</xdr:colOff>
      <xdr:row>4</xdr:row>
      <xdr:rowOff>200526</xdr:rowOff>
    </xdr:from>
    <xdr:to>
      <xdr:col>11</xdr:col>
      <xdr:colOff>767013</xdr:colOff>
      <xdr:row>15</xdr:row>
      <xdr:rowOff>175459</xdr:rowOff>
    </xdr:to>
    <xdr:graphicFrame macro="">
      <xdr:nvGraphicFramePr>
        <xdr:cNvPr id="45" name="Diagramm 4">
          <a:extLst>
            <a:ext uri="{FF2B5EF4-FFF2-40B4-BE49-F238E27FC236}">
              <a16:creationId xmlns:a16="http://schemas.microsoft.com/office/drawing/2014/main" id="{0628B023-4824-49B2-A022-85B35C4C3E57}"/>
            </a:ext>
            <a:ext uri="{147F2762-F138-4A5C-976F-8EAC2B608ADB}">
              <a16:predDERef xmlns:a16="http://schemas.microsoft.com/office/drawing/2014/main" pre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4</xdr:row>
      <xdr:rowOff>199791</xdr:rowOff>
    </xdr:from>
    <xdr:to>
      <xdr:col>5</xdr:col>
      <xdr:colOff>752707</xdr:colOff>
      <xdr:row>15</xdr:row>
      <xdr:rowOff>171914</xdr:rowOff>
    </xdr:to>
    <xdr:graphicFrame macro="">
      <xdr:nvGraphicFramePr>
        <xdr:cNvPr id="46" name="Diagramm 3">
          <a:extLst>
            <a:ext uri="{FF2B5EF4-FFF2-40B4-BE49-F238E27FC236}">
              <a16:creationId xmlns:a16="http://schemas.microsoft.com/office/drawing/2014/main" id="{153246B2-681D-49B7-8196-E3A211A2F7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476250</xdr:colOff>
      <xdr:row>1</xdr:row>
      <xdr:rowOff>38101</xdr:rowOff>
    </xdr:from>
    <xdr:to>
      <xdr:col>19</xdr:col>
      <xdr:colOff>304800</xdr:colOff>
      <xdr:row>5</xdr:row>
      <xdr:rowOff>76201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96500" y="228601"/>
          <a:ext cx="4572000" cy="8001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857249</xdr:colOff>
      <xdr:row>22</xdr:row>
      <xdr:rowOff>180975</xdr:rowOff>
    </xdr:from>
    <xdr:to>
      <xdr:col>10</xdr:col>
      <xdr:colOff>200024</xdr:colOff>
      <xdr:row>27</xdr:row>
      <xdr:rowOff>142876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85899" y="4371975"/>
          <a:ext cx="7058025" cy="91440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111"/>
  <sheetViews>
    <sheetView tabSelected="1" zoomScaleNormal="100" workbookViewId="0">
      <selection activeCell="T26" sqref="T26"/>
    </sheetView>
  </sheetViews>
  <sheetFormatPr defaultColWidth="11.42578125" defaultRowHeight="15" x14ac:dyDescent="0.25"/>
  <cols>
    <col min="4" max="4" width="11.42578125" customWidth="1"/>
    <col min="12" max="12" width="11.7109375" customWidth="1"/>
    <col min="13" max="15" width="20.42578125" customWidth="1"/>
    <col min="16" max="16" width="1.5703125" customWidth="1"/>
    <col min="17" max="28" width="33.42578125" customWidth="1"/>
  </cols>
  <sheetData>
    <row r="1" spans="1:28" ht="15.75" thickBot="1" x14ac:dyDescent="0.3">
      <c r="A1" s="190" t="s">
        <v>0</v>
      </c>
      <c r="B1" s="191" t="s">
        <v>1</v>
      </c>
      <c r="C1" s="192" t="s">
        <v>2</v>
      </c>
      <c r="D1" s="193" t="s">
        <v>3</v>
      </c>
      <c r="E1" s="194"/>
      <c r="F1" s="195"/>
      <c r="G1" s="196" t="s">
        <v>2</v>
      </c>
      <c r="H1" s="191" t="s">
        <v>4</v>
      </c>
      <c r="I1" s="192" t="s">
        <v>0</v>
      </c>
      <c r="J1" s="197" t="s">
        <v>5</v>
      </c>
      <c r="K1" s="198"/>
      <c r="L1" s="227"/>
      <c r="M1" s="232" t="s">
        <v>73</v>
      </c>
      <c r="N1" s="233" t="s">
        <v>74</v>
      </c>
      <c r="O1" s="234" t="s">
        <v>75</v>
      </c>
      <c r="P1" s="213"/>
      <c r="Q1" s="212"/>
      <c r="R1" s="207"/>
      <c r="S1" s="207"/>
      <c r="T1" s="207"/>
      <c r="U1" s="207"/>
      <c r="V1" s="207"/>
      <c r="W1" s="207"/>
      <c r="X1" s="207"/>
      <c r="Y1" s="207"/>
      <c r="Z1" s="207"/>
      <c r="AA1" s="207"/>
      <c r="AB1" s="207"/>
    </row>
    <row r="2" spans="1:28" ht="15.75" thickBot="1" x14ac:dyDescent="0.3">
      <c r="A2" s="95">
        <v>-1</v>
      </c>
      <c r="B2" s="96">
        <v>0</v>
      </c>
      <c r="C2" s="96">
        <v>1</v>
      </c>
      <c r="D2" s="97" t="s">
        <v>6</v>
      </c>
      <c r="E2" s="98" t="s">
        <v>7</v>
      </c>
      <c r="F2" s="99" t="s">
        <v>8</v>
      </c>
      <c r="G2" s="96">
        <v>-1</v>
      </c>
      <c r="H2" s="96">
        <v>0</v>
      </c>
      <c r="I2" s="96">
        <v>1</v>
      </c>
      <c r="J2" s="97" t="s">
        <v>6</v>
      </c>
      <c r="K2" s="98" t="s">
        <v>7</v>
      </c>
      <c r="L2" s="228" t="s">
        <v>8</v>
      </c>
      <c r="M2" s="235" t="b">
        <v>1</v>
      </c>
      <c r="N2" s="231" t="b">
        <v>0</v>
      </c>
      <c r="O2" s="236" t="b">
        <v>0</v>
      </c>
      <c r="P2" s="214"/>
      <c r="Q2" s="78"/>
      <c r="R2" s="78"/>
      <c r="S2" s="78"/>
      <c r="T2" s="78"/>
      <c r="U2" s="78"/>
    </row>
    <row r="3" spans="1:28" ht="15.75" thickBot="1" x14ac:dyDescent="0.3">
      <c r="A3" s="164" cm="1">
        <f t="array" ref="A3">IF(SUMPRODUCT(--(M2:M13))=0, 0,
    (IF(M2=TRUE,Q18, 0) + IF(M3=TRUE, R18, 0) + IF(M4=TRUE, S18, 0) +
    IF(M5=TRUE, T18, 0) + IF(M6=TRUE, U18, 0) + IF(M7=TRUE, V18, 0) +
    IF(M8=TRUE, W18, 0) + IF(M9=TRUE, X18, 0) + IF(M10=TRUE, Y18, 0) +
    IF(M11=TRUE, Z18, 0) + IF(M12=TRUE, AA18, 0) + IF(M13=TRUE, AB18, 0)) /
    SUMPRODUCT(--(M2:M13)))</f>
        <v>0</v>
      </c>
      <c r="B3" s="165" cm="1">
        <f t="array" ref="B3">IF(SUMPRODUCT(--(M2:M13))=0, 0,
    (IF(M2=TRUE, Q19, 0) + IF(M3=TRUE, R19, 0) + IF(M4=TRUE, S19, 0) +
    IF(M5=TRUE, T19, 0) + IF(M6=TRUE, U19, 0) + IF(M7=TRUE, V19, 0) +
    IF(M8=TRUE, W19, 0) + IF(M9=TRUE, X19, 0) + IF(M10=TRUE, Y19, 0) +
    IF(M11=TRUE, Z19, 0) + IF(M12=TRUE, AA19, 0) + IF(M13=TRUE, AB19, 0)) /
    SUMPRODUCT(--(M2:M13)))</f>
        <v>0</v>
      </c>
      <c r="C3" s="166" cm="1">
        <f t="array" ref="C3">IF(SUMPRODUCT(--(M2:M13))=0, 0,
    (IF(M2=TRUE, Q20, 0) + IF(M3=TRUE, R20, 0) + IF(M4=TRUE, S20, 0) +
    IF(M5=TRUE, T20, 0) + IF(M6=TRUE, U20, 0) + IF(M7=TRUE, V20, 0) +
    IF(M8=TRUE, W20, 0) + IF(M9=TRUE, X20, 0) + IF(M10=TRUE, Y20, 0) +
    IF(M11=TRUE, Z20, 0) + IF(M12=TRUE, AA20, 0) + IF(M13=TRUE, AB20, 0)) /
    SUMPRODUCT(--(M2:M13)))</f>
        <v>0</v>
      </c>
      <c r="D3" s="92">
        <f>MAX(A3:C3)-MIN(A3:C3)</f>
        <v>0</v>
      </c>
      <c r="E3" s="91">
        <f>-((A3+C3)/2-B3)</f>
        <v>0</v>
      </c>
      <c r="F3" s="93">
        <f>(A3+B3+C3)/3</f>
        <v>0</v>
      </c>
      <c r="G3" s="173" cm="1">
        <f t="array" ref="G3">IF(SUMPRODUCT(--(M2:M13))=0, 0,
    (IF(M2=TRUE, Q47, 0) + IF(M3=TRUE, R47, 0) + IF(M4=TRUE, S47, 0) +
    IF(M5=TRUE, T47, 0) + IF(M6=TRUE, U47, 0) + IF(M7=TRUE, V47, 0) +
    IF(M8=TRUE, W47, 0) + IF(M9=TRUE, X47, 0) + IF(M10=TRUE, Y47, 0) +
    IF(M11=TRUE, Z47, 0) + IF(M12=TRUE, AA47, 0) + IF(M13=TRUE, AB47, 0)) /
    SUMPRODUCT(--(M2:M13)))</f>
        <v>0</v>
      </c>
      <c r="H3" s="165" cm="1">
        <f t="array" ref="H3">IF(SUMPRODUCT(--(M2:M13))=0, 0,
    (IF(M2=TRUE,Q46, 0) + IF(M3=TRUE, R46, 0) + IF(M4=TRUE, S46, 0) +
    IF(M5=TRUE, T46, 0) + IF(M6=TRUE, U46, 0) + IF(M7=TRUE, V46, 0) +
    IF(M8=TRUE, W46, 0) + IF(M9=TRUE, X46, 0) + IF(M10=TRUE, Y46, 0) +
    IF(M11=TRUE, Z46, 0) + IF(M12=TRUE, AA46, 0) + IF(M13=TRUE, AB46, 0)) /
    SUMPRODUCT(--(M2:M13)))</f>
        <v>0</v>
      </c>
      <c r="I3" s="166" cm="1">
        <f t="array" ref="I3">IF(SUMPRODUCT(--(M2:M13))=0, 0,
    (IF(M2=TRUE,Q45, 0) + IF(M3=TRUE, R45, 0) + IF(M4=TRUE, S45, 0) +
    IF(M5=TRUE, T45, 0) + IF(M6=TRUE, U45, 0) + IF(M7=TRUE, V45, 0) +
    IF(M8=TRUE, W45, 0) + IF(M9=TRUE, X45, 0) + IF(M10=TRUE, Y45, 0) +
    IF(M11=TRUE, Z45, 0) + IF(M12=TRUE, AA45, 0) + IF(M13=TRUE, AB45, 0)) /
    SUMPRODUCT(--(M2:M13)))</f>
        <v>0</v>
      </c>
      <c r="J3" s="92">
        <f>MAX(G3:I3)-MIN(G3:I3)</f>
        <v>0</v>
      </c>
      <c r="K3" s="91">
        <f>-((G3+I3)/2-H3)</f>
        <v>0</v>
      </c>
      <c r="L3" s="229">
        <f>(G3+H3+I3)/3</f>
        <v>0</v>
      </c>
      <c r="M3" s="235" t="b">
        <v>0</v>
      </c>
      <c r="N3" s="231" t="b">
        <v>1</v>
      </c>
      <c r="O3" s="236" t="b">
        <v>0</v>
      </c>
      <c r="P3" s="215"/>
      <c r="Q3" s="79"/>
      <c r="R3" s="79"/>
      <c r="S3" s="79"/>
      <c r="T3" s="79"/>
      <c r="U3" s="79"/>
    </row>
    <row r="4" spans="1:28" ht="15.75" thickBot="1" x14ac:dyDescent="0.3">
      <c r="A4" s="167" cm="1">
        <f t="array" ref="A4">IF(SUMPRODUCT(--(N2:N13))=0, 0,
    (IF(N2=TRUE,Q18, 0) + IF(N3=TRUE, R18, 0) + IF(N4=TRUE, S18, 0) +
    IF(N5=TRUE, T18, 0) + IF(N6=TRUE, U18, 0) + IF(N7=TRUE, V18, 0) +
    IF(N8=TRUE, W18, 0) + IF(N9=TRUE, X18, 0) + IF(N10=TRUE, Y18, 0) +
    IF(N11=TRUE, Z18, 0) + IF(N12=TRUE, AA18, 0) + IF(N13=TRUE, AB18, 0)) /
    SUMPRODUCT(--(N2:N13)))</f>
        <v>0</v>
      </c>
      <c r="B4" s="168" cm="1">
        <f t="array" ref="B4">IF(SUMPRODUCT(--(N2:N13))=0, 0,
    (IF(N2=TRUE, Q19, 0) + IF(N3=TRUE, R19, 0) + IF(N4=TRUE, S19, 0) +
    IF(N5=TRUE, T19, 0) + IF(N6=TRUE, U19, 0) + IF(N7=TRUE, V19, 0) +
    IF(N8=TRUE, W19, 0) + IF(N9=TRUE, X19, 0) + IF(N10=TRUE, Y19, 0) +
    IF(N11=TRUE, Z19, 0) + IF(N12=TRUE, AA19, 0) + IF(N13=TRUE, AB19, 0)) /
    SUMPRODUCT(--(N2:N13)))</f>
        <v>0</v>
      </c>
      <c r="C4" s="169" cm="1">
        <f t="array" ref="C4">IF(SUMPRODUCT(--(N2:N13))=0, 0,
    (IF(N2=TRUE, Q20, 0) + IF(N3=TRUE, R20, 0) + IF(N4=TRUE, S20, 0) +
    IF(N5=TRUE, T20, 0) + IF(N6=TRUE, U20, 0) + IF(N7=TRUE, V20, 0) +
    IF(N8=TRUE, W20, 0) + IF(N9=TRUE, X20, 0) + IF(N10=TRUE, Y20, 0) +
    IF(N11=TRUE, Z20, 0) + IF(N12=TRUE, AA20, 0) + IF(N13=TRUE, AB20, 0)) /
    SUMPRODUCT(--(N2:N13)))</f>
        <v>0</v>
      </c>
      <c r="D4" s="77">
        <f>MAX(A4:C4)-MIN(A4:C4)</f>
        <v>0</v>
      </c>
      <c r="E4" s="75">
        <f>-((A4+C4)/2-B4)</f>
        <v>0</v>
      </c>
      <c r="F4" s="76">
        <f>(A4+B4+C4)/3</f>
        <v>0</v>
      </c>
      <c r="G4" s="175" cm="1">
        <f t="array" ref="G4">IF(SUMPRODUCT(--(N2:N13))=0, 0,
    (IF(N2=TRUE, Q47, 0) + IF(N3=TRUE, R47, 0) + IF(N4=TRUE, S47, 0) +
    IF(N5=TRUE, T47, 0) + IF(N6=TRUE, U47, 0) + IF(N7=TRUE, V47, 0) +
    IF(N8=TRUE, W47, 0) + IF(N9=TRUE, X47, 0) + IF(N10=TRUE, Y47, 0) +
    IF(N11=TRUE, Z47, 0) + IF(N12=TRUE, AA47, 0) + IF(N13=TRUE, AB47, 0)) /
    SUMPRODUCT(--(N2:N13)))</f>
        <v>0</v>
      </c>
      <c r="H4" s="176" cm="1">
        <f t="array" ref="H4">IF(SUMPRODUCT(--(N2:N13))=0, 0,
    (IF(N2=TRUE, Q46, 0) + IF(N3=TRUE, R46, 0) + IF(N4=TRUE, S46, 0) +
    IF(N5=TRUE, T46, 0) + IF(N6=TRUE, U46, 0) + IF(N7=TRUE, V46, 0) +
    IF(N8=TRUE, W46, 0) + IF(N9=TRUE, X46, 0) + IF(N10=TRUE, Y46, 0) +
    IF(N11=TRUE, Z46, 0) + IF(N12=TRUE, AA46, 0) + IF(N13=TRUE, AB46, 0)) /
    SUMPRODUCT(--(N2:N13)))</f>
        <v>0</v>
      </c>
      <c r="I4" s="177" cm="1">
        <f t="array" ref="I4">IF(SUMPRODUCT(--(N2:N13))=0, 0,
    (IF(N2=TRUE, Q45, 0) + IF(N3=TRUE, R45, 0) + IF(N4=TRUE, S45, 0) +
    IF(N5=TRUE, T45, 0) + IF(N6=TRUE, U45, 0) + IF(N7=TRUE, V45, 0) +
    IF(N8=TRUE, W45, 0) + IF(N9=TRUE, X45, 0) + IF(N10=TRUE, Y45, 0) +
    IF(N11=TRUE, Z45, 0) + IF(N12=TRUE, AA45, 0) + IF(N13=TRUE, AB45, 0)) /
    SUMPRODUCT(--(N2:N13)))</f>
        <v>0</v>
      </c>
      <c r="J4" s="77">
        <f t="shared" ref="J4:J5" si="0">MAX(G4:I4)-MIN(G4:I4)</f>
        <v>0</v>
      </c>
      <c r="K4" s="75">
        <f t="shared" ref="K4:K5" si="1">-((G4+I4)/2-H4)</f>
        <v>0</v>
      </c>
      <c r="L4" s="230">
        <f t="shared" ref="L4:L5" si="2">(G4+H4+I4)/3</f>
        <v>0</v>
      </c>
      <c r="M4" s="235" t="b">
        <v>0</v>
      </c>
      <c r="N4" s="231" t="b">
        <v>0</v>
      </c>
      <c r="O4" s="236" t="b">
        <v>1</v>
      </c>
      <c r="P4" s="216"/>
    </row>
    <row r="5" spans="1:28" ht="15.75" thickBot="1" x14ac:dyDescent="0.3">
      <c r="A5" s="170" cm="1">
        <f t="array" ref="A5">IF(SUMPRODUCT(--(O2:O13))=0, 0,
    (IF(O2=TRUE,Q18, 0) + IF(O3=TRUE, R18, 0) + IF(O4=TRUE, S18, 0) +
    IF(O5=TRUE, T18, 0) + IF(O6=TRUE, U18, 0) + IF(O7=TRUE, V18, 0) +
    IF(O8=TRUE, W18, 0) + IF(O9=TRUE, X18, 0) + IF(O10=TRUE, Y18, 0) +
    IF(O11=TRUE, Z18, 0) + IF(O12=TRUE, AA18, 0) + IF(O13=TRUE, AB18, 0)) /
    SUMPRODUCT(--(O2:O13)))</f>
        <v>0</v>
      </c>
      <c r="B5" s="171" cm="1">
        <f t="array" ref="B5">IF(SUMPRODUCT(--(O2:O13))=0, 0,
    (IF(O2=TRUE, Q19, 0) + IF(O3=TRUE, R19, 0) + IF(O4=TRUE, S19, 0) +
    IF(O5=TRUE, T19, 0) + IF(O6=TRUE, U19, 0) + IF(O7=TRUE, V19, 0) +
    IF(O8=TRUE, W19, 0) + IF(O9=TRUE, X19, 0) + IF(O10=TRUE, Y19, 0) +
    IF(O11=TRUE, Z19, 0) + IF(O12=TRUE, AA19, 0) + IF(O13=TRUE, AB19, 0)) /
    SUMPRODUCT(--(O2:O13)))</f>
        <v>0</v>
      </c>
      <c r="C5" s="172" cm="1">
        <f t="array" ref="C5">IF(SUMPRODUCT(--(O2:O13))=0, 0,
    (IF(O2=TRUE, Q20, 0) + IF(O3=TRUE, R20, 0) + IF(O4=TRUE, S20, 0) +
    IF(O5=TRUE, T20, 0) + IF(O6=TRUE, U20, 0) + IF(O7=TRUE, V20, 0) +
    IF(O8=TRUE, W20, 0) + IF(O9=TRUE, X20, 0) + IF(O10=TRUE, Y20, 0) +
    IF(O11=TRUE, Z20, 0) + IF(O12=TRUE, AA20, 0) + IF(O13=TRUE, AB20, 0)) /
    SUMPRODUCT(--(O2:O13)))</f>
        <v>0</v>
      </c>
      <c r="D5" s="77">
        <f>MAX(A5:C5)-MIN(A5:C5)</f>
        <v>0</v>
      </c>
      <c r="E5" s="75">
        <f>-((A5+C5)/2-B5)</f>
        <v>0</v>
      </c>
      <c r="F5" s="76">
        <f>(A5+B5+C5)/3</f>
        <v>0</v>
      </c>
      <c r="G5" s="179" cm="1">
        <f t="array" ref="G5">IF(SUMPRODUCT(--(O2:O13))=0, 0,
    (IF(O2=TRUE, Q47, 0) + IF(O3=TRUE, R47, 0) + IF(O4=TRUE, S47, 0) +
    IF(O5=TRUE, T47, 0) + IF(O6=TRUE, U47, 0) + IF(O7=TRUE, V47, 0) +
    IF(O8=TRUE, W47, 0) + IF(O9=TRUE, X47, 0) + IF(O10=TRUE, Y47, 0) +
    IF(O11=TRUE, Z47, 0) + IF(O12=TRUE, AA47, 0) + IF(O13=TRUE, AB47, 0)) /
    SUMPRODUCT(--(O2:O13)))</f>
        <v>0</v>
      </c>
      <c r="H5" s="180" cm="1">
        <f t="array" ref="H5">IF(SUMPRODUCT(--(O2:O13))=0, 0,
    (IF(O2=TRUE, Q46, 0) + IF(O3=TRUE, R46, 0) + IF(O4=TRUE, S46, 0) +
    IF(O5=TRUE, T46, 0) + IF(O6=TRUE, U46, 0) + IF(O7=TRUE, V46, 0) +
    IF(O8=TRUE, W46, 0) + IF(O9=TRUE, X46, 0) + IF(O10=TRUE, Y46, 0) +
    IF(O11=TRUE, Z46, 0) + IF(O12=TRUE, AA46, 0) + IF(O13=TRUE, AB46, 0)) /
    SUMPRODUCT(--(O2:O13)))</f>
        <v>0</v>
      </c>
      <c r="I5" s="181" cm="1">
        <f t="array" ref="I5">IF(SUMPRODUCT(--(O2:O13))=0, 0,
    (IF(O2=TRUE, Q45, 0) + IF(O3=TRUE, R45, 0) + IF(O4=TRUE, S45, 0) +
    IF(O5=TRUE, T45, 0) + IF(O6=TRUE, U45, 0) + IF(O7=TRUE, V45, 0) +
    IF(O8=TRUE, W45, 0) + IF(O9=TRUE, X45, 0) + IF(O10=TRUE, Y45, 0) +
    IF(O11=TRUE, Z45, 0) + IF(O12=TRUE, AA45, 0) + IF(O13=TRUE, AB45, 0)) /
    SUMPRODUCT(--(O2:O13)))</f>
        <v>0</v>
      </c>
      <c r="J5" s="77">
        <f t="shared" si="0"/>
        <v>0</v>
      </c>
      <c r="K5" s="75">
        <f t="shared" si="1"/>
        <v>0</v>
      </c>
      <c r="L5" s="230">
        <f t="shared" si="2"/>
        <v>0</v>
      </c>
      <c r="M5" s="235" t="b">
        <v>0</v>
      </c>
      <c r="N5" s="231" t="b">
        <v>0</v>
      </c>
      <c r="O5" s="236" t="b">
        <v>0</v>
      </c>
      <c r="P5" s="216"/>
    </row>
    <row r="6" spans="1:28" x14ac:dyDescent="0.25">
      <c r="A6" s="102"/>
      <c r="B6" s="103"/>
      <c r="C6" s="103"/>
      <c r="D6" s="81"/>
      <c r="E6" s="81"/>
      <c r="F6" s="81"/>
      <c r="G6" s="162"/>
      <c r="H6" s="163"/>
      <c r="I6" s="163"/>
      <c r="J6" s="163"/>
      <c r="K6" s="163"/>
      <c r="L6" s="163"/>
      <c r="M6" s="235" t="b">
        <v>0</v>
      </c>
      <c r="N6" s="231" t="b">
        <v>0</v>
      </c>
      <c r="O6" s="236">
        <v>0</v>
      </c>
      <c r="P6" s="216"/>
    </row>
    <row r="7" spans="1:28" x14ac:dyDescent="0.25">
      <c r="A7" s="84"/>
      <c r="B7" s="81"/>
      <c r="C7" s="81"/>
      <c r="D7" s="81"/>
      <c r="E7" s="81"/>
      <c r="F7" s="81"/>
      <c r="G7" s="84"/>
      <c r="H7" s="81"/>
      <c r="I7" s="81"/>
      <c r="J7" s="81"/>
      <c r="K7" s="81"/>
      <c r="L7" s="81"/>
      <c r="M7" s="235">
        <v>0</v>
      </c>
      <c r="N7" s="231" t="b">
        <v>0</v>
      </c>
      <c r="O7" s="236" t="b">
        <v>0</v>
      </c>
      <c r="P7" s="216"/>
    </row>
    <row r="8" spans="1:28" x14ac:dyDescent="0.25">
      <c r="A8" s="84"/>
      <c r="B8" s="81"/>
      <c r="C8" s="81"/>
      <c r="D8" s="81"/>
      <c r="E8" s="81"/>
      <c r="F8" s="81" t="s">
        <v>9</v>
      </c>
      <c r="G8" s="84"/>
      <c r="H8" s="81"/>
      <c r="I8" s="81"/>
      <c r="J8" s="81"/>
      <c r="K8" s="81"/>
      <c r="L8" s="82" t="s">
        <v>9</v>
      </c>
      <c r="M8" s="235">
        <v>0</v>
      </c>
      <c r="N8" s="231">
        <v>0</v>
      </c>
      <c r="O8" s="236" t="b">
        <v>0</v>
      </c>
      <c r="P8" s="216"/>
    </row>
    <row r="9" spans="1:28" x14ac:dyDescent="0.25">
      <c r="A9" s="84"/>
      <c r="B9" s="81"/>
      <c r="C9" s="81"/>
      <c r="D9" s="81"/>
      <c r="E9" s="81"/>
      <c r="F9" s="81"/>
      <c r="G9" s="84"/>
      <c r="H9" s="81"/>
      <c r="I9" s="81"/>
      <c r="J9" s="81"/>
      <c r="K9" s="81"/>
      <c r="L9" s="81"/>
      <c r="M9" s="235">
        <v>0</v>
      </c>
      <c r="N9" s="231">
        <v>0</v>
      </c>
      <c r="O9" s="236" t="b">
        <v>0</v>
      </c>
      <c r="P9" s="217"/>
      <c r="Q9" s="80"/>
      <c r="R9" s="80"/>
      <c r="S9" s="80"/>
      <c r="T9" s="80"/>
      <c r="U9" s="80"/>
    </row>
    <row r="10" spans="1:28" x14ac:dyDescent="0.25">
      <c r="A10" s="84"/>
      <c r="B10" s="81"/>
      <c r="C10" s="81"/>
      <c r="D10" s="81"/>
      <c r="E10" s="81"/>
      <c r="F10" s="81"/>
      <c r="G10" s="84"/>
      <c r="H10" s="81"/>
      <c r="I10" s="81"/>
      <c r="J10" s="81"/>
      <c r="K10" s="81"/>
      <c r="L10" s="81"/>
      <c r="M10" s="235">
        <v>0</v>
      </c>
      <c r="N10" s="231">
        <v>0</v>
      </c>
      <c r="O10" s="236">
        <v>0</v>
      </c>
      <c r="P10" s="216"/>
    </row>
    <row r="11" spans="1:28" x14ac:dyDescent="0.25">
      <c r="A11" s="84"/>
      <c r="B11" s="81"/>
      <c r="C11" s="81"/>
      <c r="D11" s="81"/>
      <c r="E11" s="81"/>
      <c r="F11" s="82" t="s">
        <v>10</v>
      </c>
      <c r="G11" s="84"/>
      <c r="H11" s="81"/>
      <c r="I11" s="81"/>
      <c r="J11" s="81"/>
      <c r="K11" s="81"/>
      <c r="L11" s="82" t="s">
        <v>10</v>
      </c>
      <c r="M11" s="235">
        <v>0</v>
      </c>
      <c r="N11" s="231">
        <v>0</v>
      </c>
      <c r="O11" s="236">
        <v>0</v>
      </c>
      <c r="P11" s="216"/>
    </row>
    <row r="12" spans="1:28" ht="15.75" thickBot="1" x14ac:dyDescent="0.3">
      <c r="A12" s="84"/>
      <c r="B12" s="81"/>
      <c r="C12" s="81"/>
      <c r="D12" s="81"/>
      <c r="E12" s="81"/>
      <c r="F12" s="81"/>
      <c r="G12" s="84"/>
      <c r="H12" s="81"/>
      <c r="I12" s="81"/>
      <c r="J12" s="81"/>
      <c r="K12" s="81"/>
      <c r="L12" s="81"/>
      <c r="M12" s="235">
        <v>0</v>
      </c>
      <c r="N12" s="231">
        <v>0</v>
      </c>
      <c r="O12" s="236">
        <v>0</v>
      </c>
      <c r="P12" s="216"/>
    </row>
    <row r="13" spans="1:28" ht="15.75" thickBot="1" x14ac:dyDescent="0.3">
      <c r="A13" s="84"/>
      <c r="B13" s="81"/>
      <c r="C13" s="81"/>
      <c r="D13" s="81"/>
      <c r="E13" s="74"/>
      <c r="F13" s="81"/>
      <c r="G13" s="84"/>
      <c r="H13" s="81"/>
      <c r="I13" s="81"/>
      <c r="J13" s="81"/>
      <c r="K13" s="74"/>
      <c r="L13" s="81"/>
      <c r="M13" s="237" t="b">
        <v>0</v>
      </c>
      <c r="N13" s="238" t="b">
        <v>0</v>
      </c>
      <c r="O13" s="239" t="b">
        <v>0</v>
      </c>
      <c r="P13" s="216"/>
    </row>
    <row r="14" spans="1:28" ht="15.75" thickBot="1" x14ac:dyDescent="0.3">
      <c r="A14" s="84"/>
      <c r="B14" s="81"/>
      <c r="C14" s="81"/>
      <c r="D14" s="81"/>
      <c r="E14" s="94"/>
      <c r="F14" s="82"/>
      <c r="G14" s="84"/>
      <c r="H14" s="81"/>
      <c r="I14" s="81"/>
      <c r="J14" s="81"/>
      <c r="K14" s="94"/>
      <c r="L14" s="82"/>
      <c r="M14" s="219"/>
      <c r="N14" s="220"/>
      <c r="O14" s="220"/>
      <c r="P14" s="216"/>
    </row>
    <row r="15" spans="1:28" ht="15.75" thickBot="1" x14ac:dyDescent="0.3">
      <c r="A15" s="84"/>
      <c r="B15" s="81"/>
      <c r="C15" s="81"/>
      <c r="D15" s="81"/>
      <c r="E15" s="81"/>
      <c r="F15" s="81"/>
      <c r="G15" s="84"/>
      <c r="H15" s="81"/>
      <c r="I15" s="81"/>
      <c r="J15" s="81"/>
      <c r="K15" s="81"/>
      <c r="L15" s="83"/>
      <c r="M15" s="224" t="s">
        <v>8</v>
      </c>
      <c r="N15" s="225"/>
      <c r="O15" s="226"/>
      <c r="P15" s="213"/>
    </row>
    <row r="16" spans="1:28" ht="15.75" thickBot="1" x14ac:dyDescent="0.3">
      <c r="A16" s="200"/>
      <c r="B16" s="201"/>
      <c r="C16" s="201"/>
      <c r="D16" s="201"/>
      <c r="E16" s="201"/>
      <c r="F16" s="201"/>
      <c r="G16" s="202"/>
      <c r="H16" s="203"/>
      <c r="I16" s="203"/>
      <c r="J16" s="203"/>
      <c r="K16" s="203"/>
      <c r="L16" s="204"/>
      <c r="M16" s="221"/>
      <c r="N16" s="222" t="s">
        <v>15</v>
      </c>
      <c r="O16" s="223"/>
      <c r="P16" s="213"/>
    </row>
    <row r="17" spans="1:16" ht="15.75" thickBot="1" x14ac:dyDescent="0.3">
      <c r="A17" s="190" t="s">
        <v>0</v>
      </c>
      <c r="B17" s="191" t="s">
        <v>4</v>
      </c>
      <c r="C17" s="192" t="s">
        <v>11</v>
      </c>
      <c r="D17" s="193" t="s">
        <v>12</v>
      </c>
      <c r="E17" s="194"/>
      <c r="F17" s="205"/>
      <c r="G17" s="206" t="s">
        <v>2</v>
      </c>
      <c r="H17" s="191" t="s">
        <v>1</v>
      </c>
      <c r="I17" s="192" t="s">
        <v>0</v>
      </c>
      <c r="J17" s="197" t="s">
        <v>13</v>
      </c>
      <c r="K17" s="198"/>
      <c r="L17" s="199"/>
      <c r="M17" s="107"/>
      <c r="N17" s="186" t="s">
        <v>17</v>
      </c>
      <c r="O17" s="187"/>
      <c r="P17" s="213"/>
    </row>
    <row r="18" spans="1:16" ht="15.75" thickBot="1" x14ac:dyDescent="0.3">
      <c r="A18" s="95">
        <v>-1</v>
      </c>
      <c r="B18" s="96">
        <v>0</v>
      </c>
      <c r="C18" s="96">
        <v>1</v>
      </c>
      <c r="D18" s="97" t="s">
        <v>6</v>
      </c>
      <c r="E18" s="98" t="s">
        <v>7</v>
      </c>
      <c r="F18" s="99" t="s">
        <v>8</v>
      </c>
      <c r="G18" s="96">
        <v>-1</v>
      </c>
      <c r="H18" s="96">
        <v>0</v>
      </c>
      <c r="I18" s="96">
        <v>1</v>
      </c>
      <c r="J18" s="97" t="s">
        <v>6</v>
      </c>
      <c r="K18" s="98" t="s">
        <v>7</v>
      </c>
      <c r="L18" s="99" t="s">
        <v>8</v>
      </c>
      <c r="M18" s="108"/>
      <c r="N18" s="186" t="s">
        <v>19</v>
      </c>
      <c r="O18" s="187"/>
      <c r="P18" s="213"/>
    </row>
    <row r="19" spans="1:16" ht="15.75" thickBot="1" x14ac:dyDescent="0.3">
      <c r="A19" s="174" cm="1">
        <f t="array" ref="A19">IF(SUMPRODUCT(--(M2:M13))=0, 0,
    (IF(M2=TRUE, Q27, 0) + IF(M3=TRUE, R27, 0) + IF(M4=TRUE, S27, 0) +
    IF(M5=TRUE, T27, 0) + IF(M6=TRUE, U27, 0) + IF(M7=TRUE, V27, 0) +
    IF(M8=TRUE, W27, 0) + IF(M9=TRUE, X27, 0) + IF(M10=TRUE, Y27, 0) +
    IF(M11=TRUE, Z27, 0) + IF(M12=TRUE, AA27, 0) + IF(M13=TRUE, AB27, 0)) /
    SUMPRODUCT(--(M2:M13)))</f>
        <v>0</v>
      </c>
      <c r="B19" s="165" cm="1">
        <f t="array" ref="B19">IF(SUMPRODUCT(--(M2:M13))=0, 0,
    (IF(M2=TRUE, Q28, 0) + IF(M3=TRUE, R28, 0) + IF(M4=TRUE, S28, 0) +
    IF(M5=TRUE, T28, 0) + IF(M6=TRUE, U28, 0) + IF(M7=TRUE, V28, 0) +
    IF(M8=TRUE, W28, 0) + IF(M9=TRUE, X28, 0) + IF(M10=TRUE, Y28, 0) +
    IF(M11=TRUE, Z28, 0) + IF(M12=TRUE, AA28, 0) + IF(M13=TRUE, AB28, 0)) /
    SUMPRODUCT(--(M2:M13)))</f>
        <v>0</v>
      </c>
      <c r="C19" s="166" cm="1">
        <f t="array" ref="C19">IF(SUMPRODUCT(--(M2:M13))=0, 0,
    (IF(M2=TRUE, Q29, 0) + IF(M3=TRUE, R29, 0) + IF(M4=TRUE, S29, 0) +
    IF(M5=TRUE, T29, 0) + IF(M6=TRUE, U29, 0) + IF(M7=TRUE, V29, 0) +
    IF(M8=TRUE, W29, 0) + IF(M9=TRUE, X29, 0) + IF(M10=TRUE, Y29, 0) +
    IF(M11=TRUE, Z29, 0) + IF(M12=TRUE, AA29, 0) + IF(M13=TRUE, AB29, 0)) /
    SUMPRODUCT(--(M2:M13)))</f>
        <v>0</v>
      </c>
      <c r="D19" s="88">
        <f>MAX(A19:C19)-MIN(A19:C19)</f>
        <v>0</v>
      </c>
      <c r="E19" s="89">
        <f>-((A19+C19)/2-B19)</f>
        <v>0</v>
      </c>
      <c r="F19" s="90">
        <f>(A19+B19+C19)/3</f>
        <v>0</v>
      </c>
      <c r="G19" s="173" cm="1">
        <f t="array" ref="G19">IF(SUMPRODUCT(--(M2:M13))=0, 0,
    (IF(M2=TRUE, Q38, 0) + IF(M3=TRUE, R38, 0) + IF(M4=TRUE, S38, 0) +
    IF(M5=TRUE, T38, 0) + IF(M6=TRUE, U38, 0) + IF(M7=TRUE, V38, 0) +
    IF(M8=TRUE, W38, 0) + IF(M9=TRUE, X38, 0) + IF(M10=TRUE, Y38, 0) +
    IF(M11=TRUE, Z38, 0) + IF(M12=TRUE, AA38, 0) + IF(M13=TRUE, AB38, 0)) /
    SUMPRODUCT(--(M2:M13)))</f>
        <v>0</v>
      </c>
      <c r="H19" s="165" cm="1">
        <f t="array" ref="H19">IF(SUMPRODUCT(--(M2:M13))=0, 0,
    (IF(M2=TRUE, Q37, 0) + IF(M3=TRUE, R37, 0) + IF(M4=TRUE, S37, 0) +
    IF(M5=TRUE, T37, 0) + IF(M6=TRUE, U37, 0) + IF(M7=TRUE, V37, 0) +
    IF(M8=TRUE, W37, 0) + IF(M9=TRUE, X37, 0) + IF(M10=TRUE, Y37, 0) +
    IF(M11=TRUE, Z37, 0) + IF(M12=TRUE, AA37, 0) + IF(M13=TRUE, AB37, 0)) /
    SUMPRODUCT(--(M2:M13)))</f>
        <v>0</v>
      </c>
      <c r="I19" s="166" cm="1">
        <f t="array" ref="I19">IF(SUMPRODUCT(--(M2:M13))=0, 0,
    (IF(M2=TRUE, Q36, 0) + IF(M3=TRUE, R36, 0) + IF(M4=TRUE, S36, 0) +
    IF(M5=TRUE, T36, 0) + IF(M6=TRUE, U36, 0) + IF(M7=TRUE, V36, 0) +
    IF(M8=TRUE, W36, 0) + IF(M9=TRUE, X36, 0) + IF(M10=TRUE, Y36, 0) +
    IF(M11=TRUE, Z36, 0) + IF(M12=TRUE, AA36, 0) + IF(M13=TRUE, AB36, 0)) /
    SUMPRODUCT(--(M2:M13)))</f>
        <v>0</v>
      </c>
      <c r="J19" s="92">
        <f>MAX(G19:I19)-MIN(G19:I19)</f>
        <v>0</v>
      </c>
      <c r="K19" s="91">
        <f>-((G19+I19)/2-H19)</f>
        <v>0</v>
      </c>
      <c r="L19" s="100">
        <f>(G19+H19+I19)/3</f>
        <v>0</v>
      </c>
      <c r="M19" s="109"/>
      <c r="N19" s="186" t="s">
        <v>20</v>
      </c>
      <c r="O19" s="187"/>
      <c r="P19" s="213"/>
    </row>
    <row r="20" spans="1:16" ht="15.75" thickBot="1" x14ac:dyDescent="0.3">
      <c r="A20" s="178" cm="1">
        <f t="array" ref="A20">IF(SUMPRODUCT(--(N2:N13))=0, 0,
    (IF(N2=TRUE, Q27, 0) + IF(N3=TRUE, R27, 0) + IF(N4=TRUE, S27, 0) +
    IF(N5=TRUE, T27, 0) + IF(N6=TRUE, U27, 0) + IF(N7=TRUE, V27, 0) +
    IF(N8=TRUE, W27, 0) + IF(N9=TRUE, X27, 0) + IF(N10=TRUE, Y27, 0) +
    IF(N11=TRUE, Z27, 0) + IF(N12=TRUE, AA27, 0) + IF(N13=TRUE, AB27, 0)) /
    SUMPRODUCT(--(N2:N13)))</f>
        <v>0</v>
      </c>
      <c r="B20" s="176" cm="1">
        <f t="array" ref="B20">IF(SUMPRODUCT(--(N2:N13))=0, 0,
    (IF(N2=TRUE, Q28, 0) + IF(N3=TRUE, R28, 0) + IF(N4=TRUE, S28, 0) +
    IF(N5=TRUE, T28, 0) + IF(N6=TRUE, U28, 0) + IF(N7=TRUE, V28, 0) +
    IF(N8=TRUE, W28, 0) + IF(N9=TRUE, X28, 0) + IF(N10=TRUE, Y28, 0) +
    IF(N11=TRUE, Z28, 0) + IF(N12=TRUE, AA28, 0) + IF(N13=TRUE, AB28, 0)) /
    SUMPRODUCT(--(N2:N13)))</f>
        <v>0</v>
      </c>
      <c r="C20" s="177" cm="1">
        <f t="array" ref="C20">IF(SUMPRODUCT(--(N2:N13))=0, 0,
    (IF(N2=TRUE, Q29, 0) + IF(N3=TRUE, R29, 0) + IF(N4=TRUE, S29, 0) +
    IF(N5=TRUE, T29, 0) + IF(N6=TRUE, U29, 0) + IF(N7=TRUE, V29, 0) +
    IF(N8=TRUE, W29, 0) + IF(N9=TRUE, X29, 0) + IF(N10=TRUE, Y29, 0) +
    IF(N11=TRUE, Z29, 0) + IF(N12=TRUE, AA29, 0) + IF(N13=TRUE, AB29, 0)) /
    SUMPRODUCT(--(N2:N13)))</f>
        <v>0</v>
      </c>
      <c r="D20" s="77">
        <f t="shared" ref="D20:D21" si="3">MAX(A20:C20)-MIN(A20:C20)</f>
        <v>0</v>
      </c>
      <c r="E20" s="75">
        <f t="shared" ref="E20:E21" si="4">-((A20+C20)/2-B20)</f>
        <v>0</v>
      </c>
      <c r="F20" s="76">
        <f t="shared" ref="F20:F21" si="5">(A20+B20+C20)/3</f>
        <v>0</v>
      </c>
      <c r="G20" s="175" cm="1">
        <f t="array" ref="G20">IF(SUMPRODUCT(--(N2:N13))=0, 0,
    (IF(N2=TRUE, Q38, 0) + IF(N3=TRUE, R38, 0) + IF(N4=TRUE, S38, 0) +
    IF(N5=TRUE, T38, 0) + IF(N6=TRUE, U38, 0) + IF(N7=TRUE, V38, 0) +
    IF(N8=TRUE, W38, 0) + IF(N9=TRUE, X38, 0) + IF(N10=TRUE, Y38, 0) +
    IF(N11=TRUE, Z38, 0) + IF(N12=TRUE, AA38, 0) + IF(N13=TRUE, AB38, 0)) /
    SUMPRODUCT(--(N2:N13)))</f>
        <v>0</v>
      </c>
      <c r="H20" s="176" cm="1">
        <f t="array" ref="H20">IF(SUMPRODUCT(--(N2:N13))=0, 0,
    (IF(N2=TRUE, Q37, 0) + IF(N3=TRUE, R37, 0) + IF(N4=TRUE, S37, 0) +
    IF(N5=TRUE, T37, 0) + IF(N6=TRUE, U37, 0) + IF(N7=TRUE, V37, 0) +
    IF(N8=TRUE, W37, 0) + IF(N9=TRUE, X37, 0) + IF(N10=TRUE, Y37, 0) +
    IF(N11=TRUE, Z37, 0) + IF(N12=TRUE, AA37, 0) + IF(N13=TRUE, AB37, 0)) /
    SUMPRODUCT(--(N2:N13)))</f>
        <v>0</v>
      </c>
      <c r="I20" s="177" cm="1">
        <f t="array" ref="I20">IF(SUMPRODUCT(--(N2:N13))=0, 0,
    (IF(N2=TRUE, Q36, 0) + IF(N3=TRUE, R36, 0) + IF(N4=TRUE, S36, 0) +
    IF(N5=TRUE, T36, 0) + IF(N6=TRUE, U36, 0) + IF(N7=TRUE, V36, 0) +
    IF(N8=TRUE, W36, 0) + IF(N9=TRUE, X36, 0) + IF(N10=TRUE, Y36, 0) +
    IF(N11=TRUE, Z36, 0) + IF(N12=TRUE, AA36, 0) + IF(N13=TRUE, AB36, 0)) /
    SUMPRODUCT(--(N2:N13)))</f>
        <v>0</v>
      </c>
      <c r="J20" s="77">
        <f t="shared" ref="J20:J21" si="6">MAX(G20:I20)-MIN(G20:I20)</f>
        <v>0</v>
      </c>
      <c r="K20" s="75">
        <f t="shared" ref="K20:K21" si="7">-((G20+I20)/2-H20)</f>
        <v>0</v>
      </c>
      <c r="L20" s="101">
        <f t="shared" ref="L20:L21" si="8">(G20+H20+I20)/3</f>
        <v>0</v>
      </c>
      <c r="M20" s="240"/>
      <c r="N20" s="241" t="s">
        <v>22</v>
      </c>
      <c r="O20" s="242"/>
      <c r="P20" s="213"/>
    </row>
    <row r="21" spans="1:16" ht="15.75" thickBot="1" x14ac:dyDescent="0.3">
      <c r="A21" s="182" cm="1">
        <f t="array" ref="A21">IF(SUMPRODUCT(--(O2:O13))=0, 0,
    (IF(O2=TRUE, Q27, 0) + IF(O3=TRUE, R27, 0) + IF(O4=TRUE, S27, 0) +
    IF(O5=TRUE, T27, 0) + IF(O6=TRUE, U27, 0) + IF(O7=TRUE, V27, 0) +
    IF(O8=TRUE, W27, 0) + IF(O9=TRUE, X27, 0) + IF(O10=TRUE, Y27, 0) +
    IF(O11=TRUE, Z27, 0) + IF(O12=TRUE, AA27, 0) + IF(O13=TRUE, AB27, 0)) /
    SUMPRODUCT(--(O2:O13)))</f>
        <v>0</v>
      </c>
      <c r="B21" s="183" cm="1">
        <f t="array" ref="B21">IF(SUMPRODUCT(--(O2:O13))=0, 0,
    (IF(O2=TRUE, Q28, 0) + IF(O3=TRUE, R28, 0) + IF(O4=TRUE, S28, 0) +
    IF(O5=TRUE, T28, 0) + IF(O6=TRUE, U28, 0) + IF(O7=TRUE, V28, 0) +
    IF(O8=TRUE, W28, 0) + IF(O9=TRUE, X28, 0) + IF(O10=TRUE, Y28, 0) +
    IF(O11=TRUE, Z28, 0) + IF(O12=TRUE, AA28, 0) + IF(O13=TRUE, AB28, 0)) /
    SUMPRODUCT(--(O2:O13)))</f>
        <v>0</v>
      </c>
      <c r="C21" s="184" cm="1">
        <f t="array" ref="C21">IF(SUMPRODUCT(--(O2:O13))=0, 0,
    (IF(O2=TRUE, Q29, 0) + IF(O3=TRUE, R29, 0) + IF(O4=TRUE, S29, 0) +
    IF(O5=TRUE, T29, 0) + IF(O6=TRUE, U29, 0) + IF(O7=TRUE, V29, 0) +
    IF(O8=TRUE, W29, 0) + IF(O9=TRUE, X29, 0) + IF(O10=TRUE, Y29, 0) +
    IF(O11=TRUE, Z29, 0) + IF(O12=TRUE, AA29, 0) + IF(O13=TRUE, AB29, 0)) /
    SUMPRODUCT(--(O2:O13)))</f>
        <v>0</v>
      </c>
      <c r="D21" s="77">
        <f t="shared" si="3"/>
        <v>0</v>
      </c>
      <c r="E21" s="75">
        <f t="shared" si="4"/>
        <v>0</v>
      </c>
      <c r="F21" s="76">
        <f t="shared" si="5"/>
        <v>0</v>
      </c>
      <c r="G21" s="185" cm="1">
        <f t="array" ref="G21">IF(SUMPRODUCT(--(O2:O13))=0, 0,
    (IF(O2=TRUE, Q38, 0) + IF(O3=TRUE, R38, 0) + IF(O4=TRUE, S38, 0) +
    IF(O5=TRUE, T38, 0) + IF(O6=TRUE, U38, 0) + IF(O7=TRUE, V38, 0) +
    IF(O8=TRUE, W38, 0) + IF(O9=TRUE, X38, 0) + IF(O10=TRUE, Y38, 0) +
    IF(O11=TRUE, Z38, 0) + IF(O12=TRUE, AA38, 0) + IF(O13=TRUE, AB38, 0)) /
    SUMPRODUCT(--(O2:O13)))</f>
        <v>0</v>
      </c>
      <c r="H21" s="183" cm="1">
        <f t="array" ref="H21">IF(SUMPRODUCT(--(O2:O13))=0, 0,
    (IF(O2=TRUE, Q37, 0) + IF(O3=TRUE, R37, 0) + IF(O4=TRUE, S37, 0) +
    IF(O5=TRUE, T37, 0) + IF(O6=TRUE, U37, 0) + IF(O7=TRUE, V37, 0) +
    IF(O8=TRUE, W37, 0) + IF(O9=TRUE, X37, 0) + IF(O10=TRUE, Y37, 0) +
    IF(O11=TRUE, Z37, 0) + IF(O12=TRUE, AA37, 0) + IF(O13=TRUE, AB37, 0)) /
    SUMPRODUCT(--(O2:O13)))</f>
        <v>0</v>
      </c>
      <c r="I21" s="184" cm="1">
        <f t="array" ref="I21">IF(SUMPRODUCT(--(O2:O13))=0, 0,
    (IF(O2=TRUE, Q36, 0) + IF(O3=TRUE, R36, 0) + IF(O4=TRUE, S36, 0) +
    IF(O5=TRUE, T36, 0) + IF(O6=TRUE, U36, 0) + IF(O7=TRUE, V36, 0) +
    IF(O8=TRUE, W36, 0) + IF(O9=TRUE, X36, 0) + IF(O10=TRUE, Y36, 0) +
    IF(O11=TRUE, Z36, 0) + IF(O12=TRUE, AA36, 0) + IF(O13=TRUE, AB36, 0)) /
    SUMPRODUCT(--(O2:O13)))</f>
        <v>0</v>
      </c>
      <c r="J21" s="77">
        <f t="shared" si="6"/>
        <v>0</v>
      </c>
      <c r="K21" s="75">
        <f t="shared" si="7"/>
        <v>0</v>
      </c>
      <c r="L21" s="101">
        <f t="shared" si="8"/>
        <v>0</v>
      </c>
      <c r="M21" s="243" t="s">
        <v>14</v>
      </c>
      <c r="N21" s="208"/>
      <c r="O21" s="209"/>
      <c r="P21" s="213"/>
    </row>
    <row r="22" spans="1:16" x14ac:dyDescent="0.25">
      <c r="A22" s="84"/>
      <c r="B22" s="81"/>
      <c r="C22" s="81"/>
      <c r="D22" s="81"/>
      <c r="E22" s="81"/>
      <c r="F22" s="81"/>
      <c r="G22" s="7"/>
      <c r="H22" s="81"/>
      <c r="I22" s="81"/>
      <c r="J22" s="81"/>
      <c r="K22" s="81"/>
      <c r="L22" s="83"/>
      <c r="M22" s="221"/>
      <c r="N22" s="222" t="s">
        <v>16</v>
      </c>
      <c r="O22" s="223"/>
      <c r="P22" s="213"/>
    </row>
    <row r="23" spans="1:16" x14ac:dyDescent="0.25">
      <c r="A23" s="84"/>
      <c r="B23" s="81"/>
      <c r="C23" s="81"/>
      <c r="D23" s="81"/>
      <c r="E23" s="81"/>
      <c r="F23" s="81"/>
      <c r="G23" s="7"/>
      <c r="H23" s="81"/>
      <c r="I23" s="81"/>
      <c r="J23" s="81"/>
      <c r="K23" s="81"/>
      <c r="L23" s="83"/>
      <c r="M23" s="110"/>
      <c r="N23" s="186" t="s">
        <v>18</v>
      </c>
      <c r="O23" s="187"/>
      <c r="P23" s="213"/>
    </row>
    <row r="24" spans="1:16" x14ac:dyDescent="0.25">
      <c r="A24" s="84"/>
      <c r="B24" s="81"/>
      <c r="C24" s="81"/>
      <c r="D24" s="81"/>
      <c r="E24" s="81"/>
      <c r="F24" s="82" t="s">
        <v>9</v>
      </c>
      <c r="G24" s="7"/>
      <c r="H24" s="81"/>
      <c r="I24" s="81"/>
      <c r="J24" s="81"/>
      <c r="K24" s="81"/>
      <c r="L24" s="104" t="s">
        <v>9</v>
      </c>
      <c r="M24" s="108"/>
      <c r="N24" s="186" t="s">
        <v>19</v>
      </c>
      <c r="O24" s="187"/>
      <c r="P24" s="213"/>
    </row>
    <row r="25" spans="1:16" x14ac:dyDescent="0.25">
      <c r="A25" s="84"/>
      <c r="B25" s="81"/>
      <c r="C25" s="81"/>
      <c r="D25" s="81"/>
      <c r="E25" s="105"/>
      <c r="F25" s="81"/>
      <c r="G25" s="7"/>
      <c r="H25" s="81"/>
      <c r="I25" s="81"/>
      <c r="J25" s="81"/>
      <c r="K25" s="105"/>
      <c r="L25" s="83"/>
      <c r="M25" s="109"/>
      <c r="N25" s="186" t="s">
        <v>21</v>
      </c>
      <c r="O25" s="187"/>
      <c r="P25" s="213"/>
    </row>
    <row r="26" spans="1:16" ht="15.75" thickBot="1" x14ac:dyDescent="0.3">
      <c r="A26" s="84"/>
      <c r="B26" s="81"/>
      <c r="C26" s="81"/>
      <c r="D26" s="81"/>
      <c r="E26" s="81"/>
      <c r="F26" s="81"/>
      <c r="G26" s="7"/>
      <c r="H26" s="81"/>
      <c r="I26" s="81"/>
      <c r="J26" s="81"/>
      <c r="K26" s="81"/>
      <c r="L26" s="83"/>
      <c r="M26" s="240"/>
      <c r="N26" s="241" t="s">
        <v>23</v>
      </c>
      <c r="O26" s="242"/>
      <c r="P26" s="213"/>
    </row>
    <row r="27" spans="1:16" ht="15.75" thickBot="1" x14ac:dyDescent="0.3">
      <c r="A27" s="84"/>
      <c r="B27" s="81"/>
      <c r="C27" s="81"/>
      <c r="D27" s="81"/>
      <c r="E27" s="81"/>
      <c r="F27" s="82" t="s">
        <v>10</v>
      </c>
      <c r="G27" s="7"/>
      <c r="H27" s="81"/>
      <c r="I27" s="81"/>
      <c r="J27" s="81"/>
      <c r="K27" s="81"/>
      <c r="L27" s="104" t="s">
        <v>10</v>
      </c>
      <c r="M27" s="243" t="s">
        <v>6</v>
      </c>
      <c r="N27" s="208"/>
      <c r="O27" s="209"/>
      <c r="P27" s="213"/>
    </row>
    <row r="28" spans="1:16" ht="15.75" thickBot="1" x14ac:dyDescent="0.3">
      <c r="A28" s="84"/>
      <c r="B28" s="81"/>
      <c r="C28" s="81"/>
      <c r="D28" s="81"/>
      <c r="E28" s="81"/>
      <c r="F28" s="81"/>
      <c r="G28" s="7"/>
      <c r="H28" s="81"/>
      <c r="I28" s="81"/>
      <c r="J28" s="81"/>
      <c r="K28" s="81"/>
      <c r="L28" s="83"/>
      <c r="M28" s="221"/>
      <c r="N28" s="222" t="s">
        <v>15</v>
      </c>
      <c r="O28" s="223"/>
      <c r="P28" s="213"/>
    </row>
    <row r="29" spans="1:16" x14ac:dyDescent="0.25">
      <c r="A29" s="84"/>
      <c r="B29" s="81"/>
      <c r="C29" s="81"/>
      <c r="D29" s="81"/>
      <c r="E29" s="74"/>
      <c r="F29" s="81"/>
      <c r="G29" s="7"/>
      <c r="H29" s="81"/>
      <c r="I29" s="81"/>
      <c r="J29" s="81"/>
      <c r="K29" s="74"/>
      <c r="L29" s="83"/>
      <c r="M29" s="107"/>
      <c r="N29" s="186" t="s">
        <v>17</v>
      </c>
      <c r="O29" s="187"/>
      <c r="P29" s="213"/>
    </row>
    <row r="30" spans="1:16" ht="15.75" thickBot="1" x14ac:dyDescent="0.3">
      <c r="A30" s="84"/>
      <c r="B30" s="81"/>
      <c r="C30" s="81"/>
      <c r="D30" s="81"/>
      <c r="E30" s="21"/>
      <c r="F30" s="82"/>
      <c r="G30" s="8"/>
      <c r="H30" s="9"/>
      <c r="I30" s="9"/>
      <c r="J30" s="9"/>
      <c r="K30" s="21"/>
      <c r="L30" s="106"/>
      <c r="M30" s="108"/>
      <c r="N30" s="186" t="s">
        <v>19</v>
      </c>
      <c r="O30" s="187"/>
      <c r="P30" s="213"/>
    </row>
    <row r="31" spans="1:16" x14ac:dyDescent="0.25">
      <c r="A31" s="84"/>
      <c r="B31" s="81"/>
      <c r="C31" s="81"/>
      <c r="D31" s="81"/>
      <c r="E31" s="81"/>
      <c r="F31" s="81"/>
      <c r="G31" s="81"/>
      <c r="H31" s="81"/>
      <c r="I31" s="81"/>
      <c r="J31" s="81"/>
      <c r="K31" s="81"/>
      <c r="L31" s="83"/>
      <c r="M31" s="109"/>
      <c r="N31" s="186" t="s">
        <v>20</v>
      </c>
      <c r="O31" s="187"/>
      <c r="P31" s="213"/>
    </row>
    <row r="32" spans="1:16" ht="15.75" thickBot="1" x14ac:dyDescent="0.3">
      <c r="A32" s="85"/>
      <c r="B32" s="86"/>
      <c r="C32" s="86"/>
      <c r="D32" s="86"/>
      <c r="E32" s="86"/>
      <c r="F32" s="86"/>
      <c r="G32" s="86"/>
      <c r="H32" s="86"/>
      <c r="I32" s="86"/>
      <c r="J32" s="86"/>
      <c r="K32" s="86"/>
      <c r="L32" s="87"/>
      <c r="M32" s="111"/>
      <c r="N32" s="188" t="s">
        <v>22</v>
      </c>
      <c r="O32" s="189"/>
      <c r="P32" s="213"/>
    </row>
    <row r="33" spans="1:16" ht="14.25" customHeight="1" x14ac:dyDescent="0.25">
      <c r="A33" s="253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3"/>
    </row>
    <row r="34" spans="1:16" x14ac:dyDescent="0.25">
      <c r="A34" s="210"/>
      <c r="B34" s="210"/>
      <c r="C34" s="210"/>
      <c r="D34" s="210"/>
      <c r="E34" s="210"/>
      <c r="F34" s="210"/>
      <c r="G34" s="210"/>
      <c r="H34" s="210"/>
      <c r="I34" s="210"/>
      <c r="J34" s="210"/>
      <c r="K34" s="210"/>
      <c r="L34" s="210"/>
      <c r="M34" s="210"/>
      <c r="N34" s="210"/>
      <c r="O34" s="210"/>
      <c r="P34" s="213"/>
    </row>
    <row r="35" spans="1:16" x14ac:dyDescent="0.25">
      <c r="A35" s="210"/>
      <c r="B35" s="210"/>
      <c r="C35" s="210"/>
      <c r="D35" s="210"/>
      <c r="E35" s="210"/>
      <c r="F35" s="210"/>
      <c r="G35" s="210"/>
      <c r="H35" s="210"/>
      <c r="I35" s="210"/>
      <c r="J35" s="210"/>
      <c r="K35" s="210"/>
      <c r="L35" s="210"/>
      <c r="M35" s="210"/>
      <c r="N35" s="210"/>
      <c r="O35" s="210"/>
      <c r="P35" s="213"/>
    </row>
    <row r="36" spans="1:16" x14ac:dyDescent="0.25">
      <c r="A36" s="210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3"/>
    </row>
    <row r="37" spans="1:16" x14ac:dyDescent="0.25">
      <c r="A37" s="210"/>
      <c r="B37" s="210"/>
      <c r="C37" s="210"/>
      <c r="D37" s="210"/>
      <c r="E37" s="210"/>
      <c r="F37" s="210"/>
      <c r="G37" s="210"/>
      <c r="H37" s="210"/>
      <c r="I37" s="210"/>
      <c r="J37" s="210"/>
      <c r="K37" s="210"/>
      <c r="L37" s="210"/>
      <c r="M37" s="210"/>
      <c r="N37" s="210"/>
      <c r="O37" s="210"/>
      <c r="P37" s="213"/>
    </row>
    <row r="38" spans="1:16" x14ac:dyDescent="0.25">
      <c r="A38" s="210"/>
      <c r="B38" s="210"/>
      <c r="C38" s="210"/>
      <c r="D38" s="210"/>
      <c r="E38" s="210"/>
      <c r="F38" s="210"/>
      <c r="G38" s="210"/>
      <c r="H38" s="210"/>
      <c r="I38" s="210"/>
      <c r="J38" s="210"/>
      <c r="K38" s="210"/>
      <c r="L38" s="210"/>
      <c r="M38" s="210"/>
      <c r="N38" s="210"/>
      <c r="O38" s="210"/>
      <c r="P38" s="213"/>
    </row>
    <row r="39" spans="1:16" x14ac:dyDescent="0.25">
      <c r="A39" s="211"/>
      <c r="B39" s="211"/>
      <c r="C39" s="211"/>
      <c r="D39" s="211"/>
      <c r="E39" s="211"/>
      <c r="F39" s="211"/>
      <c r="G39" s="211"/>
      <c r="H39" s="211"/>
      <c r="I39" s="211"/>
      <c r="J39" s="211"/>
      <c r="K39" s="211"/>
      <c r="L39" s="211"/>
      <c r="M39" s="211"/>
      <c r="N39" s="211"/>
      <c r="O39" s="211"/>
      <c r="P39" s="218"/>
    </row>
    <row r="43" spans="1:16" x14ac:dyDescent="0.25">
      <c r="I43" s="112"/>
      <c r="J43" s="114"/>
      <c r="K43" s="114"/>
    </row>
    <row r="44" spans="1:16" x14ac:dyDescent="0.25">
      <c r="I44" s="112"/>
      <c r="J44" s="114"/>
      <c r="K44" s="114"/>
    </row>
    <row r="45" spans="1:16" x14ac:dyDescent="0.25">
      <c r="I45" s="112"/>
      <c r="J45" s="114"/>
      <c r="K45" s="114"/>
    </row>
    <row r="46" spans="1:16" x14ac:dyDescent="0.25">
      <c r="I46" s="112"/>
      <c r="J46" s="114"/>
      <c r="K46" s="114"/>
    </row>
    <row r="47" spans="1:16" x14ac:dyDescent="0.25">
      <c r="I47" s="112"/>
      <c r="J47" s="114"/>
      <c r="K47" s="114"/>
    </row>
    <row r="48" spans="1:16" x14ac:dyDescent="0.25">
      <c r="I48" s="115"/>
      <c r="J48" s="115"/>
      <c r="K48" s="115"/>
    </row>
    <row r="49" spans="9:14" x14ac:dyDescent="0.25">
      <c r="I49" s="112"/>
      <c r="J49" s="114"/>
      <c r="K49" s="114"/>
      <c r="L49" s="116"/>
      <c r="M49" s="116"/>
      <c r="N49" s="116"/>
    </row>
    <row r="50" spans="9:14" x14ac:dyDescent="0.25">
      <c r="I50" s="113"/>
      <c r="J50" s="114"/>
      <c r="K50" s="114"/>
      <c r="M50" s="116"/>
      <c r="N50" s="116"/>
    </row>
    <row r="51" spans="9:14" x14ac:dyDescent="0.25">
      <c r="I51" s="112"/>
      <c r="J51" s="114"/>
      <c r="K51" s="114"/>
      <c r="M51" s="116"/>
      <c r="N51" s="116"/>
    </row>
    <row r="52" spans="9:14" x14ac:dyDescent="0.25">
      <c r="I52" s="112"/>
      <c r="J52" s="114"/>
      <c r="K52" s="114"/>
      <c r="M52" s="116"/>
      <c r="N52" s="116"/>
    </row>
    <row r="53" spans="9:14" x14ac:dyDescent="0.25">
      <c r="I53" s="112"/>
      <c r="J53" s="114"/>
      <c r="K53" s="114"/>
      <c r="M53" s="116"/>
      <c r="N53" s="116"/>
    </row>
    <row r="54" spans="9:14" x14ac:dyDescent="0.25">
      <c r="I54" s="115"/>
      <c r="J54" s="115"/>
      <c r="K54" s="115"/>
      <c r="M54" s="116"/>
      <c r="N54" s="116"/>
    </row>
    <row r="55" spans="9:14" x14ac:dyDescent="0.25">
      <c r="I55" s="112"/>
      <c r="J55" s="114"/>
      <c r="K55" s="114"/>
      <c r="L55" s="116"/>
      <c r="M55" s="116"/>
      <c r="N55" s="116"/>
    </row>
    <row r="56" spans="9:14" x14ac:dyDescent="0.25">
      <c r="I56" s="112"/>
      <c r="J56" s="114"/>
      <c r="K56" s="114"/>
      <c r="M56" s="116"/>
      <c r="N56" s="116"/>
    </row>
    <row r="57" spans="9:14" x14ac:dyDescent="0.25">
      <c r="I57" s="112"/>
      <c r="J57" s="114"/>
      <c r="K57" s="114"/>
      <c r="M57" s="116"/>
      <c r="N57" s="116"/>
    </row>
    <row r="58" spans="9:14" x14ac:dyDescent="0.25">
      <c r="I58" s="112"/>
      <c r="J58" s="114"/>
      <c r="K58" s="114"/>
      <c r="M58" s="116"/>
      <c r="N58" s="116"/>
    </row>
    <row r="59" spans="9:14" x14ac:dyDescent="0.25">
      <c r="I59" s="112"/>
      <c r="J59" s="114"/>
      <c r="K59" s="114"/>
      <c r="M59" s="116"/>
      <c r="N59" s="116"/>
    </row>
    <row r="60" spans="9:14" x14ac:dyDescent="0.25">
      <c r="M60" s="116"/>
      <c r="N60" s="116"/>
    </row>
    <row r="61" spans="9:14" x14ac:dyDescent="0.25">
      <c r="L61" s="116"/>
      <c r="M61" s="116"/>
      <c r="N61" s="116"/>
    </row>
    <row r="62" spans="9:14" x14ac:dyDescent="0.25">
      <c r="M62" s="116"/>
      <c r="N62" s="116"/>
    </row>
    <row r="63" spans="9:14" x14ac:dyDescent="0.25">
      <c r="M63" s="116"/>
      <c r="N63" s="116"/>
    </row>
    <row r="64" spans="9:14" x14ac:dyDescent="0.25">
      <c r="M64" s="116"/>
      <c r="N64" s="116"/>
    </row>
    <row r="65" spans="13:14" x14ac:dyDescent="0.25">
      <c r="M65" s="116"/>
      <c r="N65" s="116"/>
    </row>
    <row r="66" spans="13:14" x14ac:dyDescent="0.25">
      <c r="M66" s="116"/>
      <c r="N66" s="116"/>
    </row>
    <row r="88" spans="8:20" ht="15.75" thickBot="1" x14ac:dyDescent="0.3"/>
    <row r="89" spans="8:20" x14ac:dyDescent="0.25">
      <c r="H89" s="47"/>
      <c r="I89" s="48"/>
      <c r="J89" s="48"/>
      <c r="K89" s="48"/>
      <c r="L89" s="48"/>
      <c r="M89" s="48"/>
      <c r="N89" s="44"/>
      <c r="O89" s="44"/>
      <c r="P89" s="44"/>
      <c r="Q89" s="44"/>
      <c r="R89" s="44"/>
      <c r="S89" s="44"/>
      <c r="T89" s="44"/>
    </row>
    <row r="90" spans="8:20" x14ac:dyDescent="0.25">
      <c r="H90" s="43"/>
      <c r="P90" s="73"/>
      <c r="Q90" s="73"/>
      <c r="R90" s="73"/>
      <c r="S90" s="73"/>
      <c r="T90" s="73"/>
    </row>
    <row r="91" spans="8:20" x14ac:dyDescent="0.25">
      <c r="H91" s="43"/>
      <c r="P91" s="73"/>
      <c r="Q91" s="73"/>
      <c r="R91" s="73"/>
      <c r="S91" s="73"/>
      <c r="T91" s="73"/>
    </row>
    <row r="92" spans="8:20" x14ac:dyDescent="0.25">
      <c r="H92" s="43"/>
      <c r="P92" s="73"/>
      <c r="Q92" s="73"/>
      <c r="R92" s="73"/>
      <c r="S92" s="73"/>
      <c r="T92" s="73"/>
    </row>
    <row r="93" spans="8:20" x14ac:dyDescent="0.25">
      <c r="H93" s="43"/>
      <c r="P93" s="73"/>
      <c r="Q93" s="73"/>
      <c r="R93" s="73"/>
      <c r="S93" s="73"/>
      <c r="T93" s="73"/>
    </row>
    <row r="94" spans="8:20" x14ac:dyDescent="0.25">
      <c r="H94" s="43"/>
      <c r="P94" s="73"/>
      <c r="Q94" s="73"/>
      <c r="R94" s="73"/>
      <c r="S94" s="73"/>
      <c r="T94" s="73"/>
    </row>
    <row r="95" spans="8:20" x14ac:dyDescent="0.25">
      <c r="H95" s="43"/>
      <c r="P95" s="73"/>
      <c r="Q95" s="73"/>
      <c r="R95" s="73"/>
      <c r="S95" s="73"/>
      <c r="T95" s="73"/>
    </row>
    <row r="96" spans="8:20" ht="15.75" thickBot="1" x14ac:dyDescent="0.3">
      <c r="H96" s="71"/>
      <c r="I96" s="72"/>
      <c r="J96" s="72"/>
      <c r="K96" s="72"/>
      <c r="L96" s="72"/>
      <c r="M96" s="72"/>
      <c r="N96" s="72"/>
      <c r="O96" s="72"/>
      <c r="P96" s="72"/>
      <c r="Q96" s="72"/>
      <c r="R96" s="72"/>
      <c r="S96" s="72"/>
      <c r="T96" s="72"/>
    </row>
    <row r="97" spans="8:20" x14ac:dyDescent="0.25">
      <c r="H97" s="117"/>
      <c r="I97" s="116"/>
      <c r="J97" s="116"/>
      <c r="K97" s="116"/>
      <c r="L97" s="116"/>
      <c r="M97" s="116"/>
      <c r="N97" s="116"/>
      <c r="O97" s="116"/>
      <c r="P97" s="116"/>
      <c r="Q97" s="116"/>
      <c r="R97" s="116"/>
      <c r="S97" s="116"/>
      <c r="T97" s="118"/>
    </row>
    <row r="98" spans="8:20" x14ac:dyDescent="0.25">
      <c r="H98" s="117"/>
      <c r="I98" s="116"/>
      <c r="J98" s="116"/>
      <c r="K98" s="116"/>
      <c r="L98" s="116"/>
      <c r="M98" s="116"/>
      <c r="N98" s="116"/>
      <c r="O98" s="116"/>
      <c r="P98" s="116"/>
      <c r="Q98" s="116"/>
      <c r="R98" s="116"/>
      <c r="S98" s="116"/>
      <c r="T98" s="118"/>
    </row>
    <row r="99" spans="8:20" x14ac:dyDescent="0.25">
      <c r="H99" s="117"/>
      <c r="I99" s="116"/>
      <c r="J99" s="116"/>
      <c r="K99" s="116"/>
      <c r="L99" s="116"/>
      <c r="M99" s="116"/>
      <c r="N99" s="116"/>
      <c r="O99" s="116"/>
      <c r="P99" s="116"/>
      <c r="Q99" s="116"/>
      <c r="R99" s="116"/>
      <c r="S99" s="116"/>
      <c r="T99" s="118"/>
    </row>
    <row r="100" spans="8:20" x14ac:dyDescent="0.25">
      <c r="H100" s="117"/>
      <c r="I100" s="116"/>
      <c r="J100" s="116"/>
      <c r="K100" s="116"/>
      <c r="L100" s="116"/>
      <c r="M100" s="116"/>
      <c r="N100" s="116"/>
      <c r="O100" s="116"/>
      <c r="P100" s="116"/>
      <c r="Q100" s="116"/>
      <c r="R100" s="116"/>
      <c r="S100" s="116"/>
      <c r="T100" s="118"/>
    </row>
    <row r="101" spans="8:20" x14ac:dyDescent="0.25">
      <c r="H101" s="117"/>
      <c r="I101" s="116"/>
      <c r="J101" s="116"/>
      <c r="K101" s="116"/>
      <c r="L101" s="116"/>
      <c r="M101" s="116"/>
      <c r="N101" s="116"/>
      <c r="O101" s="116"/>
      <c r="P101" s="116"/>
      <c r="Q101" s="116"/>
      <c r="R101" s="116"/>
      <c r="S101" s="116"/>
      <c r="T101" s="118"/>
    </row>
    <row r="102" spans="8:20" x14ac:dyDescent="0.25">
      <c r="H102" s="117"/>
      <c r="I102" s="116"/>
      <c r="J102" s="116"/>
      <c r="K102" s="116"/>
      <c r="L102" s="116"/>
      <c r="M102" s="116"/>
      <c r="N102" s="116"/>
      <c r="O102" s="116"/>
      <c r="P102" s="116"/>
      <c r="Q102" s="116"/>
      <c r="R102" s="116"/>
      <c r="S102" s="116"/>
      <c r="T102" s="118"/>
    </row>
    <row r="103" spans="8:20" x14ac:dyDescent="0.25">
      <c r="H103" s="117"/>
      <c r="I103" s="116"/>
      <c r="J103" s="116"/>
      <c r="K103" s="116"/>
      <c r="L103" s="116"/>
      <c r="M103" s="116"/>
      <c r="N103" s="116"/>
      <c r="O103" s="116"/>
      <c r="P103" s="116"/>
      <c r="Q103" s="116"/>
      <c r="R103" s="116"/>
      <c r="S103" s="116"/>
      <c r="T103" s="118"/>
    </row>
    <row r="104" spans="8:20" x14ac:dyDescent="0.25">
      <c r="H104" s="117"/>
      <c r="I104" s="116"/>
      <c r="J104" s="116"/>
      <c r="K104" s="116"/>
      <c r="L104" s="116"/>
      <c r="M104" s="116"/>
      <c r="N104" s="116"/>
      <c r="O104" s="116"/>
      <c r="P104" s="116"/>
      <c r="Q104" s="116"/>
      <c r="R104" s="116"/>
      <c r="S104" s="116"/>
      <c r="T104" s="118"/>
    </row>
    <row r="105" spans="8:20" x14ac:dyDescent="0.25">
      <c r="H105" s="117"/>
      <c r="I105" s="116"/>
      <c r="J105" s="116"/>
      <c r="K105" s="116"/>
      <c r="L105" s="116"/>
      <c r="M105" s="116"/>
      <c r="N105" s="116"/>
      <c r="O105" s="116"/>
      <c r="P105" s="116"/>
      <c r="Q105" s="116"/>
      <c r="R105" s="116"/>
      <c r="S105" s="116"/>
      <c r="T105" s="118"/>
    </row>
    <row r="106" spans="8:20" x14ac:dyDescent="0.25">
      <c r="H106" s="117"/>
      <c r="I106" s="116"/>
      <c r="J106" s="116"/>
      <c r="K106" s="116"/>
      <c r="L106" s="116"/>
      <c r="M106" s="116"/>
      <c r="N106" s="116"/>
      <c r="O106" s="116"/>
      <c r="P106" s="116"/>
      <c r="Q106" s="116"/>
      <c r="R106" s="116"/>
      <c r="S106" s="116"/>
      <c r="T106" s="118"/>
    </row>
    <row r="107" spans="8:20" x14ac:dyDescent="0.25">
      <c r="H107" s="117"/>
      <c r="I107" s="116"/>
      <c r="J107" s="116"/>
      <c r="K107" s="116"/>
      <c r="L107" s="116"/>
      <c r="M107" s="116"/>
      <c r="N107" s="116"/>
      <c r="O107" s="116"/>
      <c r="P107" s="116"/>
      <c r="Q107" s="116"/>
      <c r="R107" s="116"/>
      <c r="S107" s="116"/>
      <c r="T107" s="118"/>
    </row>
    <row r="108" spans="8:20" x14ac:dyDescent="0.25">
      <c r="H108" s="117"/>
      <c r="I108" s="116"/>
      <c r="J108" s="116"/>
      <c r="K108" s="116"/>
      <c r="L108" s="116"/>
      <c r="M108" s="116"/>
      <c r="N108" s="116"/>
      <c r="O108" s="116"/>
      <c r="P108" s="116"/>
      <c r="Q108" s="116"/>
      <c r="R108" s="116"/>
      <c r="S108" s="116"/>
      <c r="T108" s="118"/>
    </row>
    <row r="109" spans="8:20" x14ac:dyDescent="0.25">
      <c r="H109" s="117"/>
      <c r="I109" s="116"/>
      <c r="J109" s="116"/>
      <c r="K109" s="116"/>
      <c r="L109" s="116"/>
      <c r="M109" s="116"/>
      <c r="N109" s="116"/>
      <c r="O109" s="116"/>
      <c r="P109" s="116"/>
      <c r="Q109" s="116"/>
      <c r="R109" s="116"/>
      <c r="S109" s="116"/>
      <c r="T109" s="118"/>
    </row>
    <row r="110" spans="8:20" x14ac:dyDescent="0.25">
      <c r="H110" s="117"/>
      <c r="I110" s="116"/>
      <c r="J110" s="116"/>
      <c r="K110" s="116"/>
      <c r="L110" s="116"/>
      <c r="M110" s="116"/>
      <c r="N110" s="116"/>
      <c r="O110" s="116"/>
      <c r="P110" s="116"/>
      <c r="Q110" s="116"/>
      <c r="R110" s="116"/>
      <c r="S110" s="116"/>
      <c r="T110" s="118"/>
    </row>
    <row r="111" spans="8:20" ht="15.75" thickBot="1" x14ac:dyDescent="0.3">
      <c r="H111" s="119"/>
      <c r="I111" s="120"/>
      <c r="J111" s="120"/>
      <c r="K111" s="120"/>
      <c r="L111" s="120"/>
      <c r="M111" s="120"/>
      <c r="N111" s="120"/>
      <c r="O111" s="120"/>
      <c r="P111" s="120"/>
      <c r="Q111" s="120"/>
      <c r="R111" s="120"/>
      <c r="S111" s="120"/>
      <c r="T111" s="121"/>
    </row>
  </sheetData>
  <mergeCells count="20">
    <mergeCell ref="N28:O28"/>
    <mergeCell ref="N29:O29"/>
    <mergeCell ref="N30:O30"/>
    <mergeCell ref="N31:O31"/>
    <mergeCell ref="N32:O32"/>
    <mergeCell ref="N19:O19"/>
    <mergeCell ref="N20:O20"/>
    <mergeCell ref="M15:O15"/>
    <mergeCell ref="M21:O21"/>
    <mergeCell ref="M27:O27"/>
    <mergeCell ref="N22:O22"/>
    <mergeCell ref="N23:O23"/>
    <mergeCell ref="N24:O24"/>
    <mergeCell ref="N25:O25"/>
    <mergeCell ref="N26:O26"/>
    <mergeCell ref="D1:F1"/>
    <mergeCell ref="D17:F17"/>
    <mergeCell ref="N16:O16"/>
    <mergeCell ref="N17:O17"/>
    <mergeCell ref="N18:O18"/>
  </mergeCells>
  <conditionalFormatting sqref="E3:E5">
    <cfRule type="cellIs" dxfId="72" priority="100" operator="between">
      <formula>-1.5</formula>
      <formula>1.5</formula>
    </cfRule>
    <cfRule type="cellIs" dxfId="71" priority="126" operator="between">
      <formula>-1.51</formula>
      <formula>-2.5</formula>
    </cfRule>
    <cfRule type="cellIs" dxfId="70" priority="127" operator="between">
      <formula>1.51</formula>
      <formula>2.5</formula>
    </cfRule>
    <cfRule type="cellIs" dxfId="69" priority="128" operator="lessThanOrEqual">
      <formula>-2.51</formula>
    </cfRule>
    <cfRule type="cellIs" dxfId="68" priority="129" operator="greaterThanOrEqual">
      <formula>2.51</formula>
    </cfRule>
  </conditionalFormatting>
  <conditionalFormatting sqref="D3:D5">
    <cfRule type="cellIs" dxfId="67" priority="99" operator="between">
      <formula>8.1</formula>
      <formula>18</formula>
    </cfRule>
  </conditionalFormatting>
  <conditionalFormatting sqref="D3:D5">
    <cfRule type="cellIs" dxfId="66" priority="98" operator="between">
      <formula>18.1</formula>
      <formula>22</formula>
    </cfRule>
  </conditionalFormatting>
  <conditionalFormatting sqref="D3:D5">
    <cfRule type="cellIs" dxfId="65" priority="97" operator="greaterThan">
      <formula>22.1</formula>
    </cfRule>
  </conditionalFormatting>
  <conditionalFormatting sqref="D3:D5">
    <cfRule type="cellIs" dxfId="64" priority="96" operator="between">
      <formula>4.1</formula>
      <formula>8</formula>
    </cfRule>
  </conditionalFormatting>
  <conditionalFormatting sqref="D3:D5">
    <cfRule type="cellIs" dxfId="63" priority="95" operator="lessThan">
      <formula>4</formula>
    </cfRule>
  </conditionalFormatting>
  <conditionalFormatting sqref="F3:F5">
    <cfRule type="cellIs" dxfId="62" priority="66" operator="between">
      <formula>70</formula>
      <formula>84.9999999</formula>
    </cfRule>
    <cfRule type="cellIs" dxfId="61" priority="67" operator="between">
      <formula>50</formula>
      <formula>69.99999</formula>
    </cfRule>
    <cfRule type="cellIs" dxfId="60" priority="68" operator="between">
      <formula>85</formula>
      <formula>94.9999999</formula>
    </cfRule>
    <cfRule type="cellIs" dxfId="59" priority="69" operator="lessThanOrEqual">
      <formula>49.999999</formula>
    </cfRule>
    <cfRule type="cellIs" dxfId="58" priority="70" operator="greaterThanOrEqual">
      <formula>95</formula>
    </cfRule>
  </conditionalFormatting>
  <conditionalFormatting sqref="K3:K5">
    <cfRule type="cellIs" dxfId="57" priority="41" operator="between">
      <formula>-1.5</formula>
      <formula>1.5</formula>
    </cfRule>
    <cfRule type="cellIs" dxfId="56" priority="42" operator="between">
      <formula>-1.51</formula>
      <formula>-2.5</formula>
    </cfRule>
    <cfRule type="cellIs" dxfId="55" priority="43" operator="between">
      <formula>1.51</formula>
      <formula>2.5</formula>
    </cfRule>
    <cfRule type="cellIs" dxfId="54" priority="44" operator="lessThanOrEqual">
      <formula>-2.51</formula>
    </cfRule>
    <cfRule type="cellIs" dxfId="53" priority="45" operator="greaterThanOrEqual">
      <formula>2.51</formula>
    </cfRule>
  </conditionalFormatting>
  <conditionalFormatting sqref="J3:J5">
    <cfRule type="cellIs" dxfId="52" priority="40" operator="between">
      <formula>8.1</formula>
      <formula>18</formula>
    </cfRule>
  </conditionalFormatting>
  <conditionalFormatting sqref="J3:J5">
    <cfRule type="cellIs" dxfId="51" priority="39" operator="between">
      <formula>18.1</formula>
      <formula>22</formula>
    </cfRule>
  </conditionalFormatting>
  <conditionalFormatting sqref="J3:J5">
    <cfRule type="cellIs" dxfId="50" priority="38" operator="greaterThan">
      <formula>22.1</formula>
    </cfRule>
  </conditionalFormatting>
  <conditionalFormatting sqref="J3:J5">
    <cfRule type="cellIs" dxfId="49" priority="37" operator="between">
      <formula>4.1</formula>
      <formula>8</formula>
    </cfRule>
  </conditionalFormatting>
  <conditionalFormatting sqref="J3:J5">
    <cfRule type="cellIs" dxfId="48" priority="36" operator="lessThan">
      <formula>4</formula>
    </cfRule>
  </conditionalFormatting>
  <conditionalFormatting sqref="L3:L5">
    <cfRule type="cellIs" dxfId="47" priority="31" operator="between">
      <formula>70</formula>
      <formula>84.9999999</formula>
    </cfRule>
    <cfRule type="cellIs" dxfId="46" priority="32" operator="between">
      <formula>50</formula>
      <formula>69.99999</formula>
    </cfRule>
    <cfRule type="cellIs" dxfId="45" priority="33" operator="between">
      <formula>85</formula>
      <formula>94.9999999</formula>
    </cfRule>
    <cfRule type="cellIs" dxfId="44" priority="34" operator="lessThanOrEqual">
      <formula>49.999999</formula>
    </cfRule>
    <cfRule type="cellIs" dxfId="43" priority="35" operator="greaterThanOrEqual">
      <formula>95</formula>
    </cfRule>
  </conditionalFormatting>
  <conditionalFormatting sqref="E19:E21">
    <cfRule type="cellIs" dxfId="42" priority="26" operator="between">
      <formula>-1.5</formula>
      <formula>1.5</formula>
    </cfRule>
    <cfRule type="cellIs" dxfId="41" priority="27" operator="between">
      <formula>-1.51</formula>
      <formula>-2.5</formula>
    </cfRule>
    <cfRule type="cellIs" dxfId="40" priority="28" operator="between">
      <formula>1.51</formula>
      <formula>2.5</formula>
    </cfRule>
    <cfRule type="cellIs" dxfId="39" priority="29" operator="lessThanOrEqual">
      <formula>-2.51</formula>
    </cfRule>
    <cfRule type="cellIs" dxfId="38" priority="30" operator="greaterThanOrEqual">
      <formula>2.51</formula>
    </cfRule>
  </conditionalFormatting>
  <conditionalFormatting sqref="D19:D21">
    <cfRule type="cellIs" dxfId="37" priority="25" operator="between">
      <formula>8.1</formula>
      <formula>18</formula>
    </cfRule>
  </conditionalFormatting>
  <conditionalFormatting sqref="D19:D21">
    <cfRule type="cellIs" dxfId="36" priority="24" operator="between">
      <formula>18.1</formula>
      <formula>22</formula>
    </cfRule>
  </conditionalFormatting>
  <conditionalFormatting sqref="D19:D21">
    <cfRule type="cellIs" dxfId="35" priority="23" operator="greaterThan">
      <formula>22.1</formula>
    </cfRule>
  </conditionalFormatting>
  <conditionalFormatting sqref="D19:D21">
    <cfRule type="cellIs" dxfId="34" priority="22" operator="between">
      <formula>4.1</formula>
      <formula>8</formula>
    </cfRule>
  </conditionalFormatting>
  <conditionalFormatting sqref="D19:D21">
    <cfRule type="cellIs" dxfId="33" priority="21" operator="lessThan">
      <formula>4</formula>
    </cfRule>
  </conditionalFormatting>
  <conditionalFormatting sqref="F19:F21">
    <cfRule type="cellIs" dxfId="32" priority="16" operator="between">
      <formula>70</formula>
      <formula>84.9999999</formula>
    </cfRule>
    <cfRule type="cellIs" dxfId="31" priority="17" operator="between">
      <formula>50</formula>
      <formula>69.99999</formula>
    </cfRule>
    <cfRule type="cellIs" dxfId="30" priority="18" operator="between">
      <formula>85</formula>
      <formula>94.9999999</formula>
    </cfRule>
    <cfRule type="cellIs" dxfId="29" priority="19" operator="lessThanOrEqual">
      <formula>49.999999</formula>
    </cfRule>
    <cfRule type="cellIs" dxfId="28" priority="20" operator="greaterThanOrEqual">
      <formula>95</formula>
    </cfRule>
  </conditionalFormatting>
  <conditionalFormatting sqref="K19:K21">
    <cfRule type="cellIs" dxfId="27" priority="11" operator="between">
      <formula>-1.5</formula>
      <formula>1.5</formula>
    </cfRule>
    <cfRule type="cellIs" dxfId="26" priority="12" operator="between">
      <formula>-1.51</formula>
      <formula>-2.5</formula>
    </cfRule>
    <cfRule type="cellIs" dxfId="25" priority="13" operator="between">
      <formula>1.51</formula>
      <formula>2.5</formula>
    </cfRule>
    <cfRule type="cellIs" dxfId="24" priority="14" operator="lessThanOrEqual">
      <formula>-2.51</formula>
    </cfRule>
    <cfRule type="cellIs" dxfId="23" priority="15" operator="greaterThanOrEqual">
      <formula>2.51</formula>
    </cfRule>
  </conditionalFormatting>
  <conditionalFormatting sqref="J19:J21">
    <cfRule type="cellIs" dxfId="22" priority="10" operator="between">
      <formula>8.1</formula>
      <formula>18</formula>
    </cfRule>
  </conditionalFormatting>
  <conditionalFormatting sqref="J19:J21">
    <cfRule type="cellIs" dxfId="21" priority="9" operator="between">
      <formula>18.1</formula>
      <formula>22</formula>
    </cfRule>
  </conditionalFormatting>
  <conditionalFormatting sqref="J19:J21">
    <cfRule type="cellIs" dxfId="20" priority="8" operator="greaterThan">
      <formula>22.1</formula>
    </cfRule>
  </conditionalFormatting>
  <conditionalFormatting sqref="J19:J21">
    <cfRule type="cellIs" dxfId="19" priority="7" operator="between">
      <formula>4.1</formula>
      <formula>8</formula>
    </cfRule>
  </conditionalFormatting>
  <conditionalFormatting sqref="J19:J21">
    <cfRule type="cellIs" dxfId="18" priority="6" operator="lessThan">
      <formula>4</formula>
    </cfRule>
  </conditionalFormatting>
  <conditionalFormatting sqref="L19:L21">
    <cfRule type="cellIs" dxfId="17" priority="1" operator="between">
      <formula>70</formula>
      <formula>84.9999999</formula>
    </cfRule>
    <cfRule type="cellIs" dxfId="16" priority="2" operator="between">
      <formula>50</formula>
      <formula>69.99999</formula>
    </cfRule>
    <cfRule type="cellIs" dxfId="15" priority="3" operator="between">
      <formula>85</formula>
      <formula>94.9999999</formula>
    </cfRule>
    <cfRule type="cellIs" dxfId="14" priority="4" operator="lessThanOrEqual">
      <formula>49.999999</formula>
    </cfRule>
    <cfRule type="cellIs" dxfId="13" priority="5" operator="greaterThanOrEqual">
      <formula>95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3" r:id="rId4" name="graph1_log1">
              <controlPr defaultSize="0" autoFill="0" autoLine="0" autoPict="0">
                <anchor mov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5" name="graph1_log2">
              <controlPr defaultSize="0" autoFill="0" autoLine="0" autoPict="0">
                <anchor moveWithCells="1">
                  <from>
                    <xdr:col>12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6" name="graph1_log3">
              <controlPr defaultSize="0" autoFill="0" autoLine="0" autoPict="0">
                <anchor moveWithCells="1">
                  <from>
                    <xdr:col>12</xdr:col>
                    <xdr:colOff>0</xdr:colOff>
                    <xdr:row>3</xdr:row>
                    <xdr:rowOff>0</xdr:rowOff>
                  </from>
                  <to>
                    <xdr:col>13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7" name="graph1_log4">
              <controlPr defaultSize="0" autoFill="0" autoLine="0" autoPict="0">
                <anchor moveWithCells="1">
                  <from>
                    <xdr:col>12</xdr:col>
                    <xdr:colOff>0</xdr:colOff>
                    <xdr:row>4</xdr:row>
                    <xdr:rowOff>0</xdr:rowOff>
                  </from>
                  <to>
                    <xdr:col>13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8" name="graph1_log5">
              <controlPr defaultSize="0" autoFill="0" autoLine="0" autoPict="0">
                <anchor moveWithCells="1">
                  <from>
                    <xdr:col>12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9" name="graph1_log6">
              <controlPr defaultSize="0" autoFill="0" autoLine="0" autoPict="0">
                <anchor moveWithCells="1">
                  <from>
                    <xdr:col>12</xdr:col>
                    <xdr:colOff>0</xdr:colOff>
                    <xdr:row>6</xdr:row>
                    <xdr:rowOff>0</xdr:rowOff>
                  </from>
                  <to>
                    <xdr:col>13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0" name="graph1_log7">
              <controlPr defaultSize="0" autoFill="0" autoLine="0" autoPict="0">
                <anchor moveWithCells="1">
                  <from>
                    <xdr:col>12</xdr:col>
                    <xdr:colOff>0</xdr:colOff>
                    <xdr:row>7</xdr:row>
                    <xdr:rowOff>0</xdr:rowOff>
                  </from>
                  <to>
                    <xdr:col>13</xdr:col>
                    <xdr:colOff>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1" name="graph1_log8">
              <controlPr defaultSize="0" autoFill="0" autoLine="0" autoPict="0">
                <anchor moveWithCells="1">
                  <from>
                    <xdr:col>12</xdr:col>
                    <xdr:colOff>0</xdr:colOff>
                    <xdr:row>8</xdr:row>
                    <xdr:rowOff>0</xdr:rowOff>
                  </from>
                  <to>
                    <xdr:col>13</xdr:col>
                    <xdr:colOff>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2" name="graph1_log9">
              <controlPr defaultSize="0" autoFill="0" autoLine="0" autoPict="0">
                <anchor moveWithCells="1">
                  <from>
                    <xdr:col>12</xdr:col>
                    <xdr:colOff>0</xdr:colOff>
                    <xdr:row>9</xdr:row>
                    <xdr:rowOff>0</xdr:rowOff>
                  </from>
                  <to>
                    <xdr:col>13</xdr:col>
                    <xdr:colOff>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3" name="graph1_log10">
              <controlPr defaultSize="0" autoFill="0" autoLine="0" autoPict="0">
                <anchor moveWithCells="1">
                  <from>
                    <xdr:col>12</xdr:col>
                    <xdr:colOff>0</xdr:colOff>
                    <xdr:row>10</xdr:row>
                    <xdr:rowOff>0</xdr:rowOff>
                  </from>
                  <to>
                    <xdr:col>13</xdr:col>
                    <xdr:colOff>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4" name="graph1_log11">
              <controlPr defaultSize="0" autoFill="0" autoLine="0" autoPict="0">
                <anchor moveWithCells="1">
                  <from>
                    <xdr:col>12</xdr:col>
                    <xdr:colOff>0</xdr:colOff>
                    <xdr:row>11</xdr:row>
                    <xdr:rowOff>0</xdr:rowOff>
                  </from>
                  <to>
                    <xdr:col>13</xdr:col>
                    <xdr:colOff>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5" name="graph1_log12">
              <controlPr defaultSize="0" autoFill="0" autoLine="0" autoPict="0">
                <anchor moveWithCells="1">
                  <from>
                    <xdr:col>12</xdr:col>
                    <xdr:colOff>0</xdr:colOff>
                    <xdr:row>12</xdr:row>
                    <xdr:rowOff>0</xdr:rowOff>
                  </from>
                  <to>
                    <xdr:col>13</xdr:col>
                    <xdr:colOff>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6" name="graph2_log1">
              <controlPr defaultSize="0" autoFill="0" autoLine="0" autoPict="0">
                <anchor moveWithCells="1">
                  <from>
                    <xdr:col>13</xdr:col>
                    <xdr:colOff>0</xdr:colOff>
                    <xdr:row>1</xdr:row>
                    <xdr:rowOff>0</xdr:rowOff>
                  </from>
                  <to>
                    <xdr:col>14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7" name="graph2_log2">
              <controlPr defaultSize="0" autoFill="0" autoLine="0" autoPict="0">
                <anchor moveWithCells="1">
                  <from>
                    <xdr:col>13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18" name="graph2_log3">
              <controlPr defaultSize="0" autoFill="0" autoLine="0" autoPict="0">
                <anchor mov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14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19" name="graph2_log4">
              <controlPr defaultSize="0" autoFill="0" autoLine="0" autoPict="0">
                <anchor moveWithCells="1">
                  <from>
                    <xdr:col>13</xdr:col>
                    <xdr:colOff>0</xdr:colOff>
                    <xdr:row>4</xdr:row>
                    <xdr:rowOff>0</xdr:rowOff>
                  </from>
                  <to>
                    <xdr:col>14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" name="graph2_log5">
              <controlPr defaultSize="0" autoFill="0" autoLine="0" autoPict="0">
                <anchor moveWithCells="1">
                  <from>
                    <xdr:col>13</xdr:col>
                    <xdr:colOff>0</xdr:colOff>
                    <xdr:row>5</xdr:row>
                    <xdr:rowOff>0</xdr:rowOff>
                  </from>
                  <to>
                    <xdr:col>14</xdr:col>
                    <xdr:colOff>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1" name="graph2_log6">
              <controlPr defaultSize="0" autoFill="0" autoLine="0" autoPict="0">
                <anchor moveWithCells="1">
                  <from>
                    <xdr:col>13</xdr:col>
                    <xdr:colOff>0</xdr:colOff>
                    <xdr:row>6</xdr:row>
                    <xdr:rowOff>0</xdr:rowOff>
                  </from>
                  <to>
                    <xdr:col>14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2" name="graph2_log7">
              <controlPr defaultSize="0" autoFill="0" autoLine="0" autoPict="0">
                <anchor moveWithCells="1">
                  <from>
                    <xdr:col>13</xdr:col>
                    <xdr:colOff>0</xdr:colOff>
                    <xdr:row>7</xdr:row>
                    <xdr:rowOff>0</xdr:rowOff>
                  </from>
                  <to>
                    <xdr:col>14</xdr:col>
                    <xdr:colOff>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3" name="graph2_log8">
              <controlPr defaultSize="0" autoFill="0" autoLine="0" autoPict="0">
                <anchor moveWithCells="1">
                  <from>
                    <xdr:col>13</xdr:col>
                    <xdr:colOff>0</xdr:colOff>
                    <xdr:row>8</xdr:row>
                    <xdr:rowOff>0</xdr:rowOff>
                  </from>
                  <to>
                    <xdr:col>14</xdr:col>
                    <xdr:colOff>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4" name="graph2_log9">
              <controlPr defaultSize="0" autoFill="0" autoLine="0" autoPict="0">
                <anchor moveWithCells="1">
                  <from>
                    <xdr:col>13</xdr:col>
                    <xdr:colOff>0</xdr:colOff>
                    <xdr:row>9</xdr:row>
                    <xdr:rowOff>0</xdr:rowOff>
                  </from>
                  <to>
                    <xdr:col>14</xdr:col>
                    <xdr:colOff>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5" name="graph2_log10">
              <controlPr defaultSize="0" autoFill="0" autoLine="0" autoPict="0">
                <anchor moveWithCells="1">
                  <from>
                    <xdr:col>13</xdr:col>
                    <xdr:colOff>0</xdr:colOff>
                    <xdr:row>10</xdr:row>
                    <xdr:rowOff>0</xdr:rowOff>
                  </from>
                  <to>
                    <xdr:col>14</xdr:col>
                    <xdr:colOff>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6" name="graph2_log11">
              <controlPr defaultSize="0" autoFill="0" autoLine="0" autoPict="0">
                <anchor moveWithCells="1">
                  <from>
                    <xdr:col>13</xdr:col>
                    <xdr:colOff>0</xdr:colOff>
                    <xdr:row>11</xdr:row>
                    <xdr:rowOff>0</xdr:rowOff>
                  </from>
                  <to>
                    <xdr:col>14</xdr:col>
                    <xdr:colOff>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7" name="graph2_log12">
              <controlPr defaultSize="0" autoFill="0" autoLine="0" autoPict="0">
                <anchor moveWithCells="1">
                  <from>
                    <xdr:col>13</xdr:col>
                    <xdr:colOff>0</xdr:colOff>
                    <xdr:row>12</xdr:row>
                    <xdr:rowOff>0</xdr:rowOff>
                  </from>
                  <to>
                    <xdr:col>14</xdr:col>
                    <xdr:colOff>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8" name="graph3_log1">
              <controlPr defaultSize="0" autoFill="0" autoLine="0" autoPict="0">
                <anchor moveWithCells="1">
                  <from>
                    <xdr:col>14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9" name="graph3_log2">
              <controlPr defaultSize="0" autoFill="0" autoLine="0" autoPict="0">
                <anchor mov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15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30" name="graph3_log3">
              <controlPr defaultSize="0" autoFill="0" autoLine="0" autoPict="0">
                <anchor mov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15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31" name="graph3_log4">
              <controlPr defaultSize="0" autoFill="0" autoLine="0" autoPict="0">
                <anchor moveWithCells="1">
                  <from>
                    <xdr:col>14</xdr:col>
                    <xdr:colOff>0</xdr:colOff>
                    <xdr:row>4</xdr:row>
                    <xdr:rowOff>0</xdr:rowOff>
                  </from>
                  <to>
                    <xdr:col>15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32" name="graph3_log5">
              <controlPr defaultSize="0" autoFill="0" autoLine="0" autoPict="0">
                <anchor moveWithCells="1">
                  <from>
                    <xdr:col>14</xdr:col>
                    <xdr:colOff>0</xdr:colOff>
                    <xdr:row>5</xdr:row>
                    <xdr:rowOff>0</xdr:rowOff>
                  </from>
                  <to>
                    <xdr:col>15</xdr:col>
                    <xdr:colOff>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33" name="graph3_log6">
              <controlPr defaultSize="0" autoFill="0" autoLine="0" autoPict="0">
                <anchor moveWithCells="1">
                  <from>
                    <xdr:col>14</xdr:col>
                    <xdr:colOff>0</xdr:colOff>
                    <xdr:row>6</xdr:row>
                    <xdr:rowOff>0</xdr:rowOff>
                  </from>
                  <to>
                    <xdr:col>15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34" name="graph3_log7">
              <controlPr defaultSize="0" autoFill="0" autoLine="0" autoPict="0">
                <anchor moveWithCells="1">
                  <from>
                    <xdr:col>14</xdr:col>
                    <xdr:colOff>0</xdr:colOff>
                    <xdr:row>7</xdr:row>
                    <xdr:rowOff>0</xdr:rowOff>
                  </from>
                  <to>
                    <xdr:col>15</xdr:col>
                    <xdr:colOff>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35" name="graph3_log8">
              <controlPr defaultSize="0" autoFill="0" autoLine="0" autoPict="0">
                <anchor moveWithCells="1">
                  <from>
                    <xdr:col>14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36" name="graph3_log9">
              <controlPr defaultSize="0" autoFill="0" autoLine="0" autoPict="0">
                <anchor moveWithCells="1">
                  <from>
                    <xdr:col>14</xdr:col>
                    <xdr:colOff>0</xdr:colOff>
                    <xdr:row>9</xdr:row>
                    <xdr:rowOff>0</xdr:rowOff>
                  </from>
                  <to>
                    <xdr:col>15</xdr:col>
                    <xdr:colOff>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37" name="graph3_log10">
              <controlPr defaultSize="0" autoFill="0" autoLine="0" autoPict="0">
                <anchor moveWithCells="1">
                  <from>
                    <xdr:col>14</xdr:col>
                    <xdr:colOff>0</xdr:colOff>
                    <xdr:row>10</xdr:row>
                    <xdr:rowOff>0</xdr:rowOff>
                  </from>
                  <to>
                    <xdr:col>15</xdr:col>
                    <xdr:colOff>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38" name="graph3_log11">
              <controlPr defaultSize="0" autoFill="0" autoLine="0" autoPict="0">
                <anchor moveWithCells="1">
                  <from>
                    <xdr:col>14</xdr:col>
                    <xdr:colOff>0</xdr:colOff>
                    <xdr:row>11</xdr:row>
                    <xdr:rowOff>0</xdr:rowOff>
                  </from>
                  <to>
                    <xdr:col>15</xdr:col>
                    <xdr:colOff>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39" name="graph3_log12">
              <controlPr defaultSize="0" autoFill="0" autoLine="0" autoPict="0">
                <anchor moveWithCells="1">
                  <from>
                    <xdr:col>14</xdr:col>
                    <xdr:colOff>0</xdr:colOff>
                    <xdr:row>12</xdr:row>
                    <xdr:rowOff>0</xdr:rowOff>
                  </from>
                  <to>
                    <xdr:col>15</xdr:col>
                    <xdr:colOff>0</xdr:colOff>
                    <xdr:row>13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46"/>
  <sheetViews>
    <sheetView workbookViewId="0">
      <selection activeCell="X20" sqref="X20"/>
    </sheetView>
  </sheetViews>
  <sheetFormatPr defaultColWidth="11.42578125" defaultRowHeight="15" x14ac:dyDescent="0.25"/>
  <cols>
    <col min="1" max="1" width="7.7109375" customWidth="1"/>
    <col min="2" max="3" width="14" customWidth="1"/>
    <col min="4" max="5" width="7.7109375" customWidth="1"/>
    <col min="6" max="7" width="14" customWidth="1"/>
    <col min="8" max="9" width="7.7109375" customWidth="1"/>
    <col min="10" max="12" width="14" customWidth="1"/>
    <col min="13" max="13" width="7.7109375" customWidth="1"/>
    <col min="14" max="14" width="14" customWidth="1"/>
  </cols>
  <sheetData>
    <row r="1" spans="1:27" x14ac:dyDescent="0.25">
      <c r="A1" s="153" t="s">
        <v>24</v>
      </c>
      <c r="B1" s="149"/>
      <c r="C1" s="149"/>
      <c r="D1" s="149"/>
      <c r="E1" s="126" t="s">
        <v>25</v>
      </c>
      <c r="F1" s="127"/>
      <c r="G1" s="127"/>
      <c r="H1" s="127"/>
      <c r="I1" s="126" t="s">
        <v>26</v>
      </c>
      <c r="J1" s="127"/>
      <c r="K1" s="127"/>
      <c r="L1" s="127"/>
      <c r="M1" s="128"/>
      <c r="N1" s="245"/>
      <c r="O1" s="245"/>
      <c r="P1" s="245"/>
      <c r="Q1" s="245"/>
      <c r="R1" s="245"/>
      <c r="S1" s="245"/>
      <c r="T1" s="246"/>
    </row>
    <row r="2" spans="1:27" x14ac:dyDescent="0.25">
      <c r="A2" s="7"/>
      <c r="E2" s="7"/>
      <c r="I2" s="7"/>
      <c r="N2" s="247"/>
      <c r="O2" s="248"/>
      <c r="P2" s="248"/>
      <c r="Q2" s="248"/>
      <c r="R2" s="248"/>
      <c r="S2" s="248"/>
      <c r="T2" s="249"/>
    </row>
    <row r="3" spans="1:27" x14ac:dyDescent="0.25">
      <c r="A3" s="7"/>
      <c r="B3" s="135" t="s">
        <v>27</v>
      </c>
      <c r="C3" s="137"/>
      <c r="D3" s="23"/>
      <c r="E3" s="6"/>
      <c r="F3" s="154" t="s">
        <v>28</v>
      </c>
      <c r="G3" s="155"/>
      <c r="H3" s="26"/>
      <c r="I3" s="6"/>
      <c r="J3" s="129" t="s">
        <v>29</v>
      </c>
      <c r="K3" s="130"/>
      <c r="L3" s="131"/>
      <c r="M3" s="20"/>
      <c r="N3" s="247"/>
      <c r="O3" s="248"/>
      <c r="P3" s="248"/>
      <c r="Q3" s="248"/>
      <c r="R3" s="248"/>
      <c r="S3" s="248"/>
      <c r="T3" s="249"/>
    </row>
    <row r="4" spans="1:27" x14ac:dyDescent="0.25">
      <c r="A4" s="7"/>
      <c r="B4" s="138" t="s">
        <v>30</v>
      </c>
      <c r="C4" s="140"/>
      <c r="D4" s="24"/>
      <c r="E4" s="6"/>
      <c r="F4" s="29" t="s">
        <v>31</v>
      </c>
      <c r="G4" s="30" t="s">
        <v>32</v>
      </c>
      <c r="H4" s="27"/>
      <c r="I4" s="6"/>
      <c r="J4" s="132">
        <v>2.1</v>
      </c>
      <c r="K4" s="133"/>
      <c r="L4" s="134"/>
      <c r="M4" s="20"/>
      <c r="N4" s="247"/>
      <c r="O4" s="248"/>
      <c r="P4" s="248"/>
      <c r="Q4" s="248"/>
      <c r="R4" s="248"/>
      <c r="S4" s="248"/>
      <c r="T4" s="249"/>
    </row>
    <row r="5" spans="1:27" x14ac:dyDescent="0.25">
      <c r="A5" s="7"/>
      <c r="B5" s="141">
        <v>9</v>
      </c>
      <c r="C5" s="143"/>
      <c r="D5" s="20"/>
      <c r="E5" s="6"/>
      <c r="F5" s="61">
        <f>B9+F18+F23+F28+F33+F38</f>
        <v>15</v>
      </c>
      <c r="G5" s="62">
        <f>B9+G18+G23+G28+G33+G38</f>
        <v>15</v>
      </c>
      <c r="H5" s="28"/>
      <c r="I5" s="6"/>
      <c r="J5" s="20"/>
      <c r="K5" s="20"/>
      <c r="L5" s="20"/>
      <c r="M5" s="20"/>
      <c r="N5" s="247"/>
      <c r="O5" s="248"/>
      <c r="P5" s="248"/>
      <c r="Q5" s="248"/>
      <c r="R5" s="248"/>
      <c r="S5" s="248"/>
      <c r="T5" s="249"/>
    </row>
    <row r="6" spans="1:27" x14ac:dyDescent="0.25">
      <c r="A6" s="7"/>
      <c r="B6" s="138" t="s">
        <v>33</v>
      </c>
      <c r="C6" s="140"/>
      <c r="D6" s="24"/>
      <c r="E6" s="6"/>
      <c r="F6" s="31" t="s">
        <v>34</v>
      </c>
      <c r="G6" s="32" t="s">
        <v>35</v>
      </c>
      <c r="H6" s="27"/>
      <c r="I6" s="6"/>
      <c r="J6" s="135" t="s">
        <v>36</v>
      </c>
      <c r="K6" s="136"/>
      <c r="L6" s="137"/>
      <c r="M6" s="20"/>
      <c r="N6" s="247"/>
      <c r="O6" s="248"/>
      <c r="P6" s="248"/>
      <c r="Q6" s="248"/>
      <c r="R6" s="248"/>
      <c r="S6" s="248"/>
      <c r="T6" s="249"/>
    </row>
    <row r="7" spans="1:27" x14ac:dyDescent="0.25">
      <c r="A7" s="7"/>
      <c r="B7" s="141">
        <v>10</v>
      </c>
      <c r="C7" s="143"/>
      <c r="D7" s="20"/>
      <c r="E7" s="6"/>
      <c r="F7" s="63">
        <f>B9+F19+F24+F29+F34+F39</f>
        <v>15</v>
      </c>
      <c r="G7" s="64">
        <f>B9+G19+G24+G29+G34+G39</f>
        <v>15</v>
      </c>
      <c r="H7" s="28"/>
      <c r="I7" s="6"/>
      <c r="J7" s="138" t="s">
        <v>30</v>
      </c>
      <c r="K7" s="139"/>
      <c r="L7" s="140"/>
      <c r="M7" s="20"/>
      <c r="N7" s="247"/>
      <c r="O7" s="248"/>
      <c r="P7" s="248"/>
      <c r="Q7" s="248"/>
      <c r="R7" s="248"/>
      <c r="S7" s="248"/>
      <c r="T7" s="249"/>
    </row>
    <row r="8" spans="1:27" x14ac:dyDescent="0.25">
      <c r="A8" s="7"/>
      <c r="B8" s="138" t="s">
        <v>37</v>
      </c>
      <c r="C8" s="140"/>
      <c r="D8" s="24"/>
      <c r="E8" s="6"/>
      <c r="F8" s="20"/>
      <c r="G8" s="20"/>
      <c r="H8" s="20"/>
      <c r="I8" s="6"/>
      <c r="J8" s="141">
        <v>10</v>
      </c>
      <c r="K8" s="142"/>
      <c r="L8" s="143"/>
      <c r="M8" s="20"/>
      <c r="N8" s="148" t="s">
        <v>38</v>
      </c>
      <c r="O8" s="149"/>
      <c r="P8" s="149"/>
      <c r="Q8" s="149"/>
      <c r="R8" s="149"/>
      <c r="S8" s="149"/>
      <c r="T8" s="150"/>
    </row>
    <row r="9" spans="1:27" x14ac:dyDescent="0.25">
      <c r="A9" s="7"/>
      <c r="B9" s="132">
        <v>15</v>
      </c>
      <c r="C9" s="134"/>
      <c r="D9" s="20"/>
      <c r="E9" s="6"/>
      <c r="F9" s="20"/>
      <c r="G9" s="20"/>
      <c r="H9" s="26"/>
      <c r="I9" s="6"/>
      <c r="J9" s="138" t="s">
        <v>33</v>
      </c>
      <c r="K9" s="139"/>
      <c r="L9" s="140"/>
      <c r="M9" s="20"/>
      <c r="N9" s="7"/>
      <c r="T9" s="2"/>
    </row>
    <row r="10" spans="1:27" x14ac:dyDescent="0.25">
      <c r="A10" s="7"/>
      <c r="B10" s="20"/>
      <c r="C10" s="20"/>
      <c r="D10" s="20"/>
      <c r="E10" s="6"/>
      <c r="F10" s="154" t="s">
        <v>39</v>
      </c>
      <c r="G10" s="155"/>
      <c r="H10" s="27"/>
      <c r="I10" s="6"/>
      <c r="J10" s="141">
        <v>15</v>
      </c>
      <c r="K10" s="142"/>
      <c r="L10" s="143"/>
      <c r="M10" s="20"/>
      <c r="N10" s="7"/>
      <c r="T10" s="2"/>
    </row>
    <row r="11" spans="1:27" x14ac:dyDescent="0.25">
      <c r="A11" s="7"/>
      <c r="B11" s="144" t="s">
        <v>40</v>
      </c>
      <c r="C11" s="145"/>
      <c r="D11" s="23"/>
      <c r="E11" s="6"/>
      <c r="F11" s="29" t="s">
        <v>31</v>
      </c>
      <c r="G11" s="30" t="s">
        <v>32</v>
      </c>
      <c r="H11" s="28"/>
      <c r="I11" s="6"/>
      <c r="J11" s="138" t="s">
        <v>37</v>
      </c>
      <c r="K11" s="139"/>
      <c r="L11" s="140"/>
      <c r="M11" s="20"/>
      <c r="N11" s="7"/>
      <c r="O11" s="151" t="s">
        <v>41</v>
      </c>
      <c r="P11" s="152"/>
      <c r="R11" s="135" t="s">
        <v>42</v>
      </c>
      <c r="S11" s="137"/>
      <c r="T11" s="2"/>
    </row>
    <row r="12" spans="1:27" x14ac:dyDescent="0.25">
      <c r="A12" s="7"/>
      <c r="B12" s="10" t="s">
        <v>31</v>
      </c>
      <c r="C12" s="11" t="s">
        <v>32</v>
      </c>
      <c r="D12" s="24"/>
      <c r="E12" s="6"/>
      <c r="F12" s="61">
        <f>J4-((F5-B9)*0.012)</f>
        <v>2.1</v>
      </c>
      <c r="G12" s="62">
        <f>J4-((G5-B9)*0.012)</f>
        <v>2.1</v>
      </c>
      <c r="H12" s="27"/>
      <c r="I12" s="6"/>
      <c r="J12" s="132">
        <v>15</v>
      </c>
      <c r="K12" s="133"/>
      <c r="L12" s="134"/>
      <c r="M12" s="20"/>
      <c r="N12" s="7"/>
      <c r="O12" s="10" t="s">
        <v>31</v>
      </c>
      <c r="P12" s="11" t="s">
        <v>32</v>
      </c>
      <c r="R12" s="12" t="s">
        <v>31</v>
      </c>
      <c r="S12" s="13" t="s">
        <v>32</v>
      </c>
      <c r="T12" s="2"/>
    </row>
    <row r="13" spans="1:27" x14ac:dyDescent="0.25">
      <c r="A13" s="7"/>
      <c r="B13" s="59"/>
      <c r="C13" s="60"/>
      <c r="D13" s="20"/>
      <c r="E13" s="6"/>
      <c r="F13" s="31" t="s">
        <v>34</v>
      </c>
      <c r="G13" s="32" t="s">
        <v>35</v>
      </c>
      <c r="H13" s="28"/>
      <c r="I13" s="6"/>
      <c r="J13" s="20"/>
      <c r="K13" s="20"/>
      <c r="L13" s="20"/>
      <c r="M13" s="20"/>
      <c r="N13" s="7"/>
      <c r="O13" s="59">
        <v>60</v>
      </c>
      <c r="P13" s="60">
        <v>55</v>
      </c>
      <c r="R13" s="59">
        <f>J4-((O13-B9)*0.012)</f>
        <v>1.56</v>
      </c>
      <c r="S13" s="60">
        <f>J4-((P13-B9)*0.012)</f>
        <v>1.62</v>
      </c>
      <c r="T13" s="2"/>
    </row>
    <row r="14" spans="1:27" x14ac:dyDescent="0.25">
      <c r="A14" s="7"/>
      <c r="B14" s="12" t="s">
        <v>34</v>
      </c>
      <c r="C14" s="13" t="s">
        <v>35</v>
      </c>
      <c r="D14" s="24"/>
      <c r="E14" s="6"/>
      <c r="F14" s="63">
        <f>J4-((F7-B9)*0.012)</f>
        <v>2.1</v>
      </c>
      <c r="G14" s="64">
        <f>J4-((G7-B9)*0.012)</f>
        <v>2.1</v>
      </c>
      <c r="H14" s="20"/>
      <c r="I14" s="6"/>
      <c r="J14" s="146" t="s">
        <v>43</v>
      </c>
      <c r="K14" s="147"/>
      <c r="L14" s="20"/>
      <c r="M14" s="20"/>
      <c r="N14" s="7"/>
      <c r="O14" s="12" t="s">
        <v>34</v>
      </c>
      <c r="P14" s="13" t="s">
        <v>35</v>
      </c>
      <c r="R14" s="12" t="s">
        <v>34</v>
      </c>
      <c r="S14" s="13" t="s">
        <v>35</v>
      </c>
      <c r="T14" s="2"/>
    </row>
    <row r="15" spans="1:27" x14ac:dyDescent="0.25">
      <c r="A15" s="7"/>
      <c r="B15" s="57"/>
      <c r="C15" s="58"/>
      <c r="D15" s="20"/>
      <c r="E15" s="6"/>
      <c r="F15" s="20"/>
      <c r="G15" s="20"/>
      <c r="H15" s="20"/>
      <c r="I15" s="6"/>
      <c r="J15" s="29" t="s">
        <v>31</v>
      </c>
      <c r="K15" s="30" t="s">
        <v>32</v>
      </c>
      <c r="L15" s="20"/>
      <c r="M15" s="20"/>
      <c r="N15" s="7"/>
      <c r="O15" s="57">
        <v>50</v>
      </c>
      <c r="P15" s="58">
        <v>30</v>
      </c>
      <c r="R15" s="57">
        <f>J4-((O15-B9)*0.012)</f>
        <v>1.6800000000000002</v>
      </c>
      <c r="S15" s="58">
        <f>J4-((P15-B9)*0.012)</f>
        <v>1.9200000000000002</v>
      </c>
      <c r="T15" s="2"/>
      <c r="Z15" s="23"/>
      <c r="AA15" s="23"/>
    </row>
    <row r="16" spans="1:27" x14ac:dyDescent="0.25">
      <c r="A16" s="7"/>
      <c r="B16" s="20"/>
      <c r="C16" s="20"/>
      <c r="D16" s="20"/>
      <c r="E16" s="6"/>
      <c r="F16" s="20"/>
      <c r="G16" s="20"/>
      <c r="H16" s="28"/>
      <c r="I16" s="6"/>
      <c r="J16" s="61">
        <f>F5+F42+F43</f>
        <v>21.75</v>
      </c>
      <c r="K16" s="62">
        <f>G5+F42+F43</f>
        <v>21.75</v>
      </c>
      <c r="L16" s="20"/>
      <c r="M16" s="20"/>
      <c r="N16" s="7"/>
      <c r="T16" s="2"/>
      <c r="Z16" s="24"/>
      <c r="AA16" s="24"/>
    </row>
    <row r="17" spans="1:27" x14ac:dyDescent="0.25">
      <c r="A17" s="7"/>
      <c r="B17" s="144" t="s">
        <v>44</v>
      </c>
      <c r="C17" s="145"/>
      <c r="D17" s="23"/>
      <c r="E17" s="6"/>
      <c r="F17" s="122" t="s">
        <v>45</v>
      </c>
      <c r="G17" s="123"/>
      <c r="H17" s="28"/>
      <c r="I17" s="6"/>
      <c r="J17" s="31" t="s">
        <v>34</v>
      </c>
      <c r="K17" s="32" t="s">
        <v>35</v>
      </c>
      <c r="L17" s="20"/>
      <c r="M17" s="20"/>
      <c r="N17" s="7"/>
      <c r="T17" s="2"/>
      <c r="Z17" s="20"/>
      <c r="AA17" s="20"/>
    </row>
    <row r="18" spans="1:27" x14ac:dyDescent="0.25">
      <c r="A18" s="7"/>
      <c r="B18" s="10" t="s">
        <v>31</v>
      </c>
      <c r="C18" s="11" t="s">
        <v>32</v>
      </c>
      <c r="D18" s="24"/>
      <c r="E18" s="6"/>
      <c r="F18" s="65">
        <f>IF(B19 = 0, 0,IF(B13 &gt; J4, (B19-J4)/0.012,  (B19-B13)/0.012))</f>
        <v>0</v>
      </c>
      <c r="G18" s="66">
        <f>IF(C19 = 0, 0,IF(C13&gt; J4, (C19-J4)/0.012, (C19-C13)/0.012))</f>
        <v>0</v>
      </c>
      <c r="H18" s="28"/>
      <c r="I18" s="6"/>
      <c r="J18" s="63">
        <f>F7+F42+F43</f>
        <v>21.75</v>
      </c>
      <c r="K18" s="64">
        <f>G7+F42+F43</f>
        <v>21.75</v>
      </c>
      <c r="L18" s="20"/>
      <c r="M18" s="20"/>
      <c r="N18" s="7"/>
      <c r="P18" s="20"/>
      <c r="Q18" s="20"/>
      <c r="T18" s="2"/>
      <c r="Z18" s="24"/>
      <c r="AA18" s="24"/>
    </row>
    <row r="19" spans="1:27" x14ac:dyDescent="0.25">
      <c r="A19" s="7"/>
      <c r="B19" s="59"/>
      <c r="C19" s="59"/>
      <c r="D19" s="20"/>
      <c r="E19" s="6"/>
      <c r="F19" s="63">
        <f>IF(B21 = 0, 0,IF(B15 &gt; J4, (B21-J4)/0.012, (B21-B15)/0.012))</f>
        <v>0</v>
      </c>
      <c r="G19" s="64">
        <f>IF(C21 = 0, 0,IF(C15&gt; J4, (C21-J4)/0.012, (C21-C15)/0.012))</f>
        <v>0</v>
      </c>
      <c r="H19" s="20"/>
      <c r="I19" s="6"/>
      <c r="J19" s="20"/>
      <c r="K19" s="20"/>
      <c r="L19" s="20"/>
      <c r="M19" s="20"/>
      <c r="N19" s="7"/>
      <c r="T19" s="2"/>
      <c r="Z19" s="20"/>
      <c r="AA19" s="20"/>
    </row>
    <row r="20" spans="1:27" x14ac:dyDescent="0.25">
      <c r="A20" s="7"/>
      <c r="B20" s="12" t="s">
        <v>34</v>
      </c>
      <c r="C20" s="13" t="s">
        <v>35</v>
      </c>
      <c r="D20" s="24"/>
      <c r="E20" s="6"/>
      <c r="F20" s="20"/>
      <c r="G20" s="20"/>
      <c r="H20" s="20"/>
      <c r="I20" s="6"/>
      <c r="J20" s="144" t="s">
        <v>46</v>
      </c>
      <c r="K20" s="145"/>
      <c r="L20" s="20"/>
      <c r="M20" s="20"/>
      <c r="N20" s="7"/>
      <c r="T20" s="2"/>
      <c r="Z20" s="24"/>
      <c r="AA20" s="24"/>
    </row>
    <row r="21" spans="1:27" x14ac:dyDescent="0.25">
      <c r="A21" s="7"/>
      <c r="B21" s="59"/>
      <c r="C21" s="58"/>
      <c r="D21" s="20"/>
      <c r="E21" s="6"/>
      <c r="F21" s="20"/>
      <c r="G21" s="20"/>
      <c r="H21" s="20"/>
      <c r="I21" s="6"/>
      <c r="J21" s="10" t="s">
        <v>31</v>
      </c>
      <c r="K21" s="11" t="s">
        <v>32</v>
      </c>
      <c r="L21" s="20"/>
      <c r="M21" s="20"/>
      <c r="N21" s="7"/>
      <c r="T21" s="2"/>
      <c r="Z21" s="20"/>
      <c r="AA21" s="20"/>
    </row>
    <row r="22" spans="1:27" x14ac:dyDescent="0.25">
      <c r="A22" s="7"/>
      <c r="B22" s="20"/>
      <c r="C22" s="20"/>
      <c r="D22" s="20"/>
      <c r="E22" s="6"/>
      <c r="F22" s="122" t="s">
        <v>47</v>
      </c>
      <c r="G22" s="123"/>
      <c r="H22" s="28"/>
      <c r="I22" s="6"/>
      <c r="J22" s="59">
        <f>J4-((J16-J12)*0.012)</f>
        <v>2.0190000000000001</v>
      </c>
      <c r="K22" s="60">
        <f>J4-((K16-J12)*0.012)</f>
        <v>2.0190000000000001</v>
      </c>
      <c r="L22" s="20"/>
      <c r="M22" s="20"/>
      <c r="N22" s="7"/>
      <c r="T22" s="2"/>
      <c r="Z22" s="20"/>
      <c r="AA22" s="20"/>
    </row>
    <row r="23" spans="1:27" x14ac:dyDescent="0.25">
      <c r="A23" s="7"/>
      <c r="B23" s="144" t="s">
        <v>48</v>
      </c>
      <c r="C23" s="145"/>
      <c r="D23" s="23"/>
      <c r="E23" s="6"/>
      <c r="F23" s="61">
        <f>IF(B25 = 0, 0,IF(B19 &gt; J4, (B25-J4)/0.012, (B25-B19)/0.012))</f>
        <v>0</v>
      </c>
      <c r="G23" s="62">
        <f>IF(C25 = 0, 0,IF(C19 &gt; J4, (C25-J4)/0.012, (C25-C19)/0.012))</f>
        <v>0</v>
      </c>
      <c r="H23" s="28"/>
      <c r="I23" s="6"/>
      <c r="J23" s="12" t="s">
        <v>34</v>
      </c>
      <c r="K23" s="13" t="s">
        <v>35</v>
      </c>
      <c r="L23" s="20"/>
      <c r="M23" s="20"/>
      <c r="N23" s="7"/>
      <c r="T23" s="2"/>
    </row>
    <row r="24" spans="1:27" x14ac:dyDescent="0.25">
      <c r="A24" s="7"/>
      <c r="B24" s="10" t="s">
        <v>31</v>
      </c>
      <c r="C24" s="11" t="s">
        <v>32</v>
      </c>
      <c r="D24" s="24"/>
      <c r="E24" s="6"/>
      <c r="F24" s="63">
        <f>IF(B27 = 0, 0,IF(B21 &gt; J4, (B27-J4)/0.012, (B27-B21)/0.012))</f>
        <v>0</v>
      </c>
      <c r="G24" s="64">
        <f>IF(C27 = 0, 0,IF(C21 &gt; J4, (C27-J4)/0.012, (C27-C21)/0.012))</f>
        <v>0</v>
      </c>
      <c r="H24" s="28"/>
      <c r="I24" s="6"/>
      <c r="J24" s="57">
        <f>J4-((J18-J12)*0.012)</f>
        <v>2.0190000000000001</v>
      </c>
      <c r="K24" s="58">
        <f>J4-((K18-J12)*0.012)</f>
        <v>2.0190000000000001</v>
      </c>
      <c r="L24" s="20"/>
      <c r="M24" s="20"/>
      <c r="N24" s="7"/>
      <c r="P24" s="20"/>
      <c r="Q24" s="20"/>
      <c r="T24" s="2"/>
    </row>
    <row r="25" spans="1:27" x14ac:dyDescent="0.25">
      <c r="A25" s="7"/>
      <c r="B25" s="59"/>
      <c r="C25" s="60"/>
      <c r="D25" s="20"/>
      <c r="E25" s="6"/>
      <c r="F25" s="20"/>
      <c r="G25" s="20"/>
      <c r="H25" s="20"/>
      <c r="I25" s="55"/>
      <c r="J25" s="56"/>
      <c r="K25" s="56"/>
      <c r="L25" s="56"/>
      <c r="M25" s="56"/>
      <c r="N25" s="7"/>
      <c r="P25" s="20"/>
      <c r="Q25" s="20"/>
      <c r="T25" s="2"/>
    </row>
    <row r="26" spans="1:27" x14ac:dyDescent="0.25">
      <c r="A26" s="7"/>
      <c r="B26" s="12" t="s">
        <v>34</v>
      </c>
      <c r="C26" s="13" t="s">
        <v>35</v>
      </c>
      <c r="D26" s="24"/>
      <c r="E26" s="6"/>
      <c r="F26" s="20"/>
      <c r="G26" s="20"/>
      <c r="H26" s="20"/>
      <c r="I26" s="124" t="s">
        <v>49</v>
      </c>
      <c r="J26" s="125"/>
      <c r="K26" s="125"/>
      <c r="L26" s="125"/>
      <c r="M26" s="125"/>
      <c r="N26" s="7"/>
      <c r="T26" s="2"/>
    </row>
    <row r="27" spans="1:27" x14ac:dyDescent="0.25">
      <c r="A27" s="7"/>
      <c r="B27" s="57"/>
      <c r="C27" s="58"/>
      <c r="D27" s="20"/>
      <c r="E27" s="6"/>
      <c r="F27" s="122" t="s">
        <v>50</v>
      </c>
      <c r="G27" s="123"/>
      <c r="H27" s="20"/>
      <c r="I27" s="6"/>
      <c r="J27" s="20"/>
      <c r="K27" s="20"/>
      <c r="L27" s="20"/>
      <c r="M27" s="20"/>
      <c r="N27" s="7"/>
      <c r="T27" s="2"/>
    </row>
    <row r="28" spans="1:27" x14ac:dyDescent="0.25">
      <c r="A28" s="7"/>
      <c r="B28" s="20"/>
      <c r="C28" s="20"/>
      <c r="D28" s="20"/>
      <c r="E28" s="6"/>
      <c r="F28" s="61">
        <f>IF(B31 = 0, 0,IF(B25 &gt; J4, (B31-J4)/0.012, (B31-B25)/0.012))</f>
        <v>0</v>
      </c>
      <c r="G28" s="62">
        <f>IF(C31 = 0, 0,IF(C25 &gt; J4, (C31-J4)/0.012, (C31-C25)/0.012))</f>
        <v>0</v>
      </c>
      <c r="H28" s="28"/>
      <c r="I28" s="6"/>
      <c r="J28" s="19" t="s">
        <v>51</v>
      </c>
      <c r="K28" s="19"/>
      <c r="L28" s="19"/>
      <c r="M28" s="20"/>
      <c r="N28" s="7"/>
      <c r="T28" s="2"/>
      <c r="Z28" s="4"/>
    </row>
    <row r="29" spans="1:27" x14ac:dyDescent="0.25">
      <c r="A29" s="7"/>
      <c r="B29" s="144" t="s">
        <v>52</v>
      </c>
      <c r="C29" s="145"/>
      <c r="D29" s="23"/>
      <c r="E29" s="6"/>
      <c r="F29" s="63">
        <f>IF(B33 = 0, 0,IF(B27 &gt; J4, (B33-J4)/0.012, (B33-B27)/0.012))</f>
        <v>0</v>
      </c>
      <c r="G29" s="64">
        <f>IF(C33 = 0, 0,IF(C27 &gt; J4, (C33-J4)/0.012, (C33-C27)/0.012))</f>
        <v>0</v>
      </c>
      <c r="H29" s="28"/>
      <c r="I29" s="6"/>
      <c r="J29" s="67" t="s">
        <v>53</v>
      </c>
      <c r="K29" s="67" t="s">
        <v>33</v>
      </c>
      <c r="L29" s="67" t="s">
        <v>30</v>
      </c>
      <c r="M29" s="20"/>
      <c r="N29" s="7"/>
      <c r="T29" s="2"/>
    </row>
    <row r="30" spans="1:27" x14ac:dyDescent="0.25">
      <c r="A30" s="7"/>
      <c r="B30" s="10" t="s">
        <v>31</v>
      </c>
      <c r="C30" s="11" t="s">
        <v>32</v>
      </c>
      <c r="D30" s="24"/>
      <c r="E30" s="6"/>
      <c r="F30" s="20"/>
      <c r="G30" s="20"/>
      <c r="H30" s="28"/>
      <c r="I30" s="6"/>
      <c r="J30" s="68">
        <v>5</v>
      </c>
      <c r="K30" s="69"/>
      <c r="L30" s="69"/>
      <c r="M30" s="20"/>
      <c r="N30" s="7"/>
      <c r="T30" s="2"/>
    </row>
    <row r="31" spans="1:27" x14ac:dyDescent="0.25">
      <c r="A31" s="7"/>
      <c r="B31" s="59"/>
      <c r="C31" s="60"/>
      <c r="D31" s="20"/>
      <c r="E31" s="6"/>
      <c r="F31" s="20"/>
      <c r="G31" s="20"/>
      <c r="H31" s="20"/>
      <c r="I31" s="6"/>
      <c r="J31" s="68">
        <v>6</v>
      </c>
      <c r="K31" s="69"/>
      <c r="L31" s="69"/>
      <c r="M31" s="20"/>
      <c r="N31" s="7"/>
      <c r="T31" s="2"/>
    </row>
    <row r="32" spans="1:27" x14ac:dyDescent="0.25">
      <c r="A32" s="7"/>
      <c r="B32" s="12" t="s">
        <v>34</v>
      </c>
      <c r="C32" s="13" t="s">
        <v>35</v>
      </c>
      <c r="D32" s="24"/>
      <c r="E32" s="6"/>
      <c r="F32" s="122" t="s">
        <v>54</v>
      </c>
      <c r="G32" s="123"/>
      <c r="H32" s="20"/>
      <c r="I32" s="6"/>
      <c r="J32" s="68">
        <v>7</v>
      </c>
      <c r="K32" s="69"/>
      <c r="L32" s="69"/>
      <c r="M32" s="20"/>
      <c r="N32" s="7"/>
      <c r="T32" s="2"/>
    </row>
    <row r="33" spans="1:20" x14ac:dyDescent="0.25">
      <c r="A33" s="7"/>
      <c r="B33" s="57"/>
      <c r="C33" s="58"/>
      <c r="D33" s="20"/>
      <c r="E33" s="6"/>
      <c r="F33" s="61">
        <f>IF(B37 = 0, 0,IF(B31 &gt; J4, (B37-J4)/0.012, (B37-B31)/0.012))</f>
        <v>0</v>
      </c>
      <c r="G33" s="62">
        <f>IF(C37 = 0, 0,IF(C31 &gt; J4, (C37-J4)/0.012, (C37-C31)/0.012))</f>
        <v>0</v>
      </c>
      <c r="H33" s="20"/>
      <c r="I33" s="6"/>
      <c r="J33" s="68">
        <v>8</v>
      </c>
      <c r="K33" s="69"/>
      <c r="L33" s="69"/>
      <c r="M33" s="20"/>
      <c r="N33" s="7"/>
      <c r="T33" s="2"/>
    </row>
    <row r="34" spans="1:20" x14ac:dyDescent="0.25">
      <c r="A34" s="7"/>
      <c r="B34" s="20"/>
      <c r="C34" s="20"/>
      <c r="D34" s="20"/>
      <c r="E34" s="6"/>
      <c r="F34" s="63">
        <f>IF(B39 = 0, 0,IF(B33 &gt; J4, (B39-J4)/0.012, (B39-B33)/0.012))</f>
        <v>0</v>
      </c>
      <c r="G34" s="64">
        <f>IF(C39 = 0, 0,IF(C33 &gt; J4, (C39-J4)/0.012, (C39-C33)/0.012))</f>
        <v>0</v>
      </c>
      <c r="H34" s="28"/>
      <c r="I34" s="6"/>
      <c r="J34" s="68">
        <v>9</v>
      </c>
      <c r="K34" s="69"/>
      <c r="L34" s="69"/>
      <c r="M34" s="20"/>
      <c r="N34" s="7"/>
      <c r="T34" s="2"/>
    </row>
    <row r="35" spans="1:20" x14ac:dyDescent="0.25">
      <c r="A35" s="7"/>
      <c r="B35" s="144" t="s">
        <v>55</v>
      </c>
      <c r="C35" s="145"/>
      <c r="D35" s="23"/>
      <c r="E35" s="6"/>
      <c r="F35" s="20"/>
      <c r="G35" s="20"/>
      <c r="H35" s="28"/>
      <c r="I35" s="6"/>
      <c r="J35" s="68">
        <v>10</v>
      </c>
      <c r="K35" s="69"/>
      <c r="L35" s="69"/>
      <c r="M35" s="20"/>
      <c r="N35" s="7"/>
      <c r="T35" s="2"/>
    </row>
    <row r="36" spans="1:20" x14ac:dyDescent="0.25">
      <c r="A36" s="7"/>
      <c r="B36" s="10" t="s">
        <v>31</v>
      </c>
      <c r="C36" s="11" t="s">
        <v>32</v>
      </c>
      <c r="D36" s="24"/>
      <c r="E36" s="6"/>
      <c r="F36" s="20"/>
      <c r="G36" s="20"/>
      <c r="H36" s="28"/>
      <c r="I36" s="6"/>
      <c r="J36" s="68">
        <v>11</v>
      </c>
      <c r="K36" s="69"/>
      <c r="L36" s="69"/>
      <c r="M36" s="20"/>
      <c r="N36" s="7"/>
      <c r="T36" s="2"/>
    </row>
    <row r="37" spans="1:20" x14ac:dyDescent="0.25">
      <c r="A37" s="7"/>
      <c r="B37" s="59"/>
      <c r="C37" s="60"/>
      <c r="D37" s="20"/>
      <c r="E37" s="6"/>
      <c r="F37" s="122" t="s">
        <v>56</v>
      </c>
      <c r="G37" s="123"/>
      <c r="H37" s="28"/>
      <c r="I37" s="6"/>
      <c r="J37" s="68">
        <v>12</v>
      </c>
      <c r="K37" s="69"/>
      <c r="L37" s="69"/>
      <c r="M37" s="20"/>
      <c r="N37" s="7"/>
      <c r="T37" s="2"/>
    </row>
    <row r="38" spans="1:20" x14ac:dyDescent="0.25">
      <c r="A38" s="7"/>
      <c r="B38" s="12" t="s">
        <v>34</v>
      </c>
      <c r="C38" s="13" t="s">
        <v>35</v>
      </c>
      <c r="D38" s="24"/>
      <c r="E38" s="6"/>
      <c r="F38" s="61">
        <f>IF(B43 = 0, 0,IF(B37 &gt; J4, (B43-J4)/0.012, (B43-B37)/0.012))</f>
        <v>0</v>
      </c>
      <c r="G38" s="62">
        <f>IF(C43 = 0, 0,IF(C37 &gt; J4, (C43-J4)/0.012, (C43-C37)/0.012))</f>
        <v>0</v>
      </c>
      <c r="H38" s="20"/>
      <c r="I38" s="6"/>
      <c r="J38" s="68">
        <v>13</v>
      </c>
      <c r="K38" s="69"/>
      <c r="L38" s="69"/>
      <c r="M38" s="20"/>
      <c r="N38" s="7"/>
      <c r="T38" s="2"/>
    </row>
    <row r="39" spans="1:20" x14ac:dyDescent="0.25">
      <c r="A39" s="7"/>
      <c r="B39" s="57"/>
      <c r="C39" s="58"/>
      <c r="D39" s="20"/>
      <c r="E39" s="6"/>
      <c r="F39" s="63">
        <f>IF(B45 = 0, 0,IF(B39 &gt; J4, (B45-J4)/0.012, (B45-B39)/0.012))</f>
        <v>0</v>
      </c>
      <c r="G39" s="64">
        <f>IF(C45 = 0, 0,IF(C39&gt; J4, (C45-J4)/0.012, (C45-C39)/0.012))</f>
        <v>0</v>
      </c>
      <c r="H39" s="20"/>
      <c r="I39" s="6"/>
      <c r="J39" s="68">
        <v>14</v>
      </c>
      <c r="K39" s="69"/>
      <c r="L39" s="69"/>
      <c r="M39" s="20"/>
      <c r="N39" s="7"/>
      <c r="T39" s="2"/>
    </row>
    <row r="40" spans="1:20" x14ac:dyDescent="0.25">
      <c r="A40" s="7"/>
      <c r="B40" s="20"/>
      <c r="C40" s="20"/>
      <c r="D40" s="20"/>
      <c r="E40" s="6"/>
      <c r="F40" s="20"/>
      <c r="G40" s="20"/>
      <c r="H40" s="28"/>
      <c r="I40" s="6"/>
      <c r="J40" s="68">
        <v>15</v>
      </c>
      <c r="K40" s="69"/>
      <c r="L40" s="69"/>
      <c r="M40" s="20"/>
      <c r="N40" s="7"/>
      <c r="T40" s="2"/>
    </row>
    <row r="41" spans="1:20" x14ac:dyDescent="0.25">
      <c r="A41" s="7"/>
      <c r="B41" s="144" t="s">
        <v>57</v>
      </c>
      <c r="C41" s="145"/>
      <c r="D41" s="23"/>
      <c r="E41" s="6"/>
      <c r="F41" s="20"/>
      <c r="G41" s="20"/>
      <c r="H41" s="28"/>
      <c r="I41" s="6"/>
      <c r="J41" s="68">
        <v>16</v>
      </c>
      <c r="K41" s="69"/>
      <c r="L41" s="69"/>
      <c r="M41" s="20"/>
      <c r="N41" s="7"/>
      <c r="T41" s="2"/>
    </row>
    <row r="42" spans="1:20" x14ac:dyDescent="0.25">
      <c r="A42" s="7"/>
      <c r="B42" s="10" t="s">
        <v>31</v>
      </c>
      <c r="C42" s="11" t="s">
        <v>32</v>
      </c>
      <c r="D42" s="24"/>
      <c r="E42" s="6"/>
      <c r="F42" s="70">
        <f>(J8-B5)*1.75</f>
        <v>1.75</v>
      </c>
      <c r="G42" s="33" t="s">
        <v>58</v>
      </c>
      <c r="H42" s="28"/>
      <c r="I42" s="6"/>
      <c r="J42" s="68">
        <v>17</v>
      </c>
      <c r="K42" s="69"/>
      <c r="L42" s="69"/>
      <c r="M42" s="20"/>
      <c r="N42" s="7"/>
      <c r="T42" s="2"/>
    </row>
    <row r="43" spans="1:20" x14ac:dyDescent="0.25">
      <c r="A43" s="7"/>
      <c r="B43" s="59"/>
      <c r="C43" s="60"/>
      <c r="D43" s="20"/>
      <c r="E43" s="6"/>
      <c r="F43" s="63">
        <f>J10-B7</f>
        <v>5</v>
      </c>
      <c r="G43" s="34" t="s">
        <v>59</v>
      </c>
      <c r="H43" s="20"/>
      <c r="I43" s="6"/>
      <c r="J43" s="68">
        <v>18</v>
      </c>
      <c r="K43" s="69"/>
      <c r="L43" s="69"/>
      <c r="M43" s="20"/>
      <c r="N43" s="7"/>
      <c r="T43" s="2"/>
    </row>
    <row r="44" spans="1:20" x14ac:dyDescent="0.25">
      <c r="A44" s="7"/>
      <c r="B44" s="12" t="s">
        <v>34</v>
      </c>
      <c r="C44" s="13" t="s">
        <v>35</v>
      </c>
      <c r="D44" s="24"/>
      <c r="E44" s="6"/>
      <c r="F44" s="20"/>
      <c r="G44" s="20"/>
      <c r="H44" s="20"/>
      <c r="I44" s="6"/>
      <c r="J44" s="68">
        <v>19</v>
      </c>
      <c r="K44" s="69"/>
      <c r="L44" s="69"/>
      <c r="M44" s="20"/>
      <c r="N44" s="7"/>
      <c r="T44" s="2"/>
    </row>
    <row r="45" spans="1:20" x14ac:dyDescent="0.25">
      <c r="A45" s="7"/>
      <c r="B45" s="57"/>
      <c r="C45" s="58"/>
      <c r="D45" s="20"/>
      <c r="E45" s="6"/>
      <c r="F45" s="20"/>
      <c r="G45" s="20"/>
      <c r="H45" s="20"/>
      <c r="I45" s="6"/>
      <c r="J45" s="68">
        <v>20</v>
      </c>
      <c r="K45" s="69"/>
      <c r="L45" s="69"/>
      <c r="M45" s="20"/>
      <c r="N45" s="7"/>
      <c r="T45" s="2"/>
    </row>
    <row r="46" spans="1:20" x14ac:dyDescent="0.25">
      <c r="A46" s="8"/>
      <c r="B46" s="56"/>
      <c r="C46" s="56"/>
      <c r="D46" s="56"/>
      <c r="E46" s="55"/>
      <c r="F46" s="56"/>
      <c r="G46" s="56"/>
      <c r="H46" s="56"/>
      <c r="I46" s="55"/>
      <c r="J46" s="56"/>
      <c r="K46" s="56"/>
      <c r="L46" s="56"/>
      <c r="M46" s="56"/>
      <c r="N46" s="8"/>
      <c r="O46" s="9"/>
      <c r="P46" s="9"/>
      <c r="Q46" s="9"/>
      <c r="R46" s="9"/>
      <c r="S46" s="9"/>
      <c r="T46" s="3"/>
    </row>
  </sheetData>
  <mergeCells count="39">
    <mergeCell ref="R11:S11"/>
    <mergeCell ref="B6:C6"/>
    <mergeCell ref="B7:C7"/>
    <mergeCell ref="F22:G22"/>
    <mergeCell ref="N1:T7"/>
    <mergeCell ref="N8:T8"/>
    <mergeCell ref="O11:P11"/>
    <mergeCell ref="A1:D1"/>
    <mergeCell ref="E1:H1"/>
    <mergeCell ref="F17:G17"/>
    <mergeCell ref="F3:G3"/>
    <mergeCell ref="F10:G10"/>
    <mergeCell ref="B3:C3"/>
    <mergeCell ref="B4:C4"/>
    <mergeCell ref="B5:C5"/>
    <mergeCell ref="B41:C41"/>
    <mergeCell ref="B35:C35"/>
    <mergeCell ref="B8:C8"/>
    <mergeCell ref="B9:C9"/>
    <mergeCell ref="B17:C17"/>
    <mergeCell ref="B11:C11"/>
    <mergeCell ref="B23:C23"/>
    <mergeCell ref="B29:C29"/>
    <mergeCell ref="F32:G32"/>
    <mergeCell ref="F37:G37"/>
    <mergeCell ref="I26:M26"/>
    <mergeCell ref="I1:M1"/>
    <mergeCell ref="J3:L3"/>
    <mergeCell ref="J4:L4"/>
    <mergeCell ref="J6:L6"/>
    <mergeCell ref="J7:L7"/>
    <mergeCell ref="J8:L8"/>
    <mergeCell ref="J9:L9"/>
    <mergeCell ref="J10:L10"/>
    <mergeCell ref="J11:L11"/>
    <mergeCell ref="J12:L12"/>
    <mergeCell ref="J20:K20"/>
    <mergeCell ref="J14:K14"/>
    <mergeCell ref="F27:G27"/>
  </mergeCells>
  <conditionalFormatting sqref="B5:C5">
    <cfRule type="cellIs" dxfId="12" priority="25" operator="equal">
      <formula>0</formula>
    </cfRule>
  </conditionalFormatting>
  <conditionalFormatting sqref="B7:C7">
    <cfRule type="cellIs" dxfId="11" priority="24" operator="equal">
      <formula>0</formula>
    </cfRule>
  </conditionalFormatting>
  <conditionalFormatting sqref="B9:C9">
    <cfRule type="cellIs" dxfId="10" priority="23" operator="equal">
      <formula>0</formula>
    </cfRule>
  </conditionalFormatting>
  <conditionalFormatting sqref="J8">
    <cfRule type="cellIs" dxfId="9" priority="18" operator="equal">
      <formula>0</formula>
    </cfRule>
  </conditionalFormatting>
  <conditionalFormatting sqref="J10">
    <cfRule type="cellIs" dxfId="8" priority="17" operator="equal">
      <formula>0</formula>
    </cfRule>
  </conditionalFormatting>
  <conditionalFormatting sqref="J12">
    <cfRule type="cellIs" dxfId="7" priority="16" operator="equal">
      <formula>0</formula>
    </cfRule>
  </conditionalFormatting>
  <conditionalFormatting sqref="J4">
    <cfRule type="cellIs" dxfId="6" priority="15" operator="notBetween">
      <formula>1.5</formula>
      <formula>2.5</formula>
    </cfRule>
  </conditionalFormatting>
  <conditionalFormatting sqref="B19:C19 B21:C21 B25:C25 B27:C27 B31:C31 B33:C33 B37:C37 B39:C39 B43:C43 B45:C45">
    <cfRule type="expression" dxfId="5" priority="6">
      <formula>B19&gt;$J$4</formula>
    </cfRule>
  </conditionalFormatting>
  <conditionalFormatting sqref="B19">
    <cfRule type="expression" dxfId="4" priority="5">
      <formula>B19&gt;$J$4</formula>
    </cfRule>
  </conditionalFormatting>
  <conditionalFormatting sqref="J22:K22 J24:K24">
    <cfRule type="expression" dxfId="3" priority="4">
      <formula>J22&lt;1.3</formula>
    </cfRule>
  </conditionalFormatting>
  <conditionalFormatting sqref="R13">
    <cfRule type="expression" dxfId="2" priority="3">
      <formula>R13&lt;1.3</formula>
    </cfRule>
  </conditionalFormatting>
  <conditionalFormatting sqref="S13">
    <cfRule type="expression" dxfId="1" priority="2">
      <formula>S13&lt;1.3</formula>
    </cfRule>
  </conditionalFormatting>
  <conditionalFormatting sqref="R15:S15">
    <cfRule type="expression" dxfId="0" priority="1">
      <formula>R15&lt;1.3</formula>
    </cfRule>
  </conditionalFormatting>
  <pageMargins left="0.7" right="0.7" top="0.78740157499999996" bottom="0.78740157499999996" header="0.3" footer="0.3"/>
  <pageSetup paperSize="0" orientation="portrait" horizontalDpi="0" verticalDpi="0" copie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31"/>
  <sheetViews>
    <sheetView workbookViewId="0">
      <selection activeCell="F36" sqref="F36"/>
    </sheetView>
  </sheetViews>
  <sheetFormatPr defaultColWidth="11.42578125" defaultRowHeight="15" x14ac:dyDescent="0.25"/>
  <cols>
    <col min="1" max="1" width="9.42578125" customWidth="1"/>
    <col min="2" max="2" width="19.7109375" customWidth="1"/>
    <col min="3" max="4" width="9.42578125" customWidth="1"/>
    <col min="5" max="5" width="19.7109375" customWidth="1"/>
    <col min="6" max="7" width="9.42578125" customWidth="1"/>
    <col min="8" max="8" width="19.7109375" customWidth="1"/>
    <col min="9" max="10" width="9.42578125" customWidth="1"/>
    <col min="11" max="11" width="19.7109375" customWidth="1"/>
    <col min="12" max="12" width="9.42578125" customWidth="1"/>
    <col min="13" max="16" width="19.7109375" customWidth="1"/>
  </cols>
  <sheetData>
    <row r="1" spans="1:12" x14ac:dyDescent="0.25">
      <c r="A1" s="156" t="s">
        <v>60</v>
      </c>
      <c r="B1" s="157"/>
      <c r="C1" s="157"/>
      <c r="D1" s="157"/>
      <c r="E1" s="157"/>
      <c r="F1" s="157"/>
      <c r="G1" s="157"/>
      <c r="H1" s="157"/>
      <c r="I1" s="157"/>
      <c r="J1" s="157"/>
      <c r="K1" s="157"/>
      <c r="L1" s="158"/>
    </row>
    <row r="2" spans="1:12" x14ac:dyDescent="0.25">
      <c r="A2" s="159"/>
      <c r="B2" s="160"/>
      <c r="C2" s="160"/>
      <c r="D2" s="160"/>
      <c r="E2" s="160"/>
      <c r="F2" s="160"/>
      <c r="G2" s="160"/>
      <c r="H2" s="160"/>
      <c r="I2" s="160"/>
      <c r="J2" s="160"/>
      <c r="K2" s="160"/>
      <c r="L2" s="161"/>
    </row>
    <row r="3" spans="1:12" x14ac:dyDescent="0.25">
      <c r="A3" s="7"/>
      <c r="D3" s="7"/>
      <c r="F3" s="2"/>
      <c r="I3" s="2"/>
      <c r="L3" s="2"/>
    </row>
    <row r="4" spans="1:12" x14ac:dyDescent="0.25">
      <c r="A4" s="7"/>
      <c r="D4" s="7"/>
      <c r="F4" s="2"/>
      <c r="I4" s="2"/>
      <c r="L4" s="2"/>
    </row>
    <row r="5" spans="1:12" x14ac:dyDescent="0.25">
      <c r="A5" s="7"/>
      <c r="B5" s="16" t="s">
        <v>61</v>
      </c>
      <c r="C5" s="24"/>
      <c r="D5" s="6"/>
      <c r="E5" s="16" t="s">
        <v>62</v>
      </c>
      <c r="F5" s="25"/>
      <c r="G5" s="20"/>
      <c r="H5" s="16" t="s">
        <v>63</v>
      </c>
      <c r="I5" s="25"/>
      <c r="J5" s="20"/>
      <c r="K5" s="16" t="s">
        <v>64</v>
      </c>
      <c r="L5" s="2"/>
    </row>
    <row r="6" spans="1:12" x14ac:dyDescent="0.25">
      <c r="A6" s="7"/>
      <c r="B6" s="15">
        <v>2</v>
      </c>
      <c r="D6" s="7"/>
      <c r="E6" s="15">
        <v>5</v>
      </c>
      <c r="F6" s="2"/>
      <c r="H6" s="15">
        <v>10</v>
      </c>
      <c r="I6" s="2"/>
      <c r="K6" s="15">
        <v>15</v>
      </c>
      <c r="L6" s="2"/>
    </row>
    <row r="7" spans="1:12" x14ac:dyDescent="0.25">
      <c r="A7" s="7"/>
      <c r="D7" s="7"/>
      <c r="F7" s="2"/>
      <c r="I7" s="2"/>
      <c r="L7" s="2"/>
    </row>
    <row r="8" spans="1:12" x14ac:dyDescent="0.25">
      <c r="A8" s="7"/>
      <c r="D8" s="7"/>
      <c r="F8" s="2"/>
      <c r="I8" s="2"/>
      <c r="L8" s="2"/>
    </row>
    <row r="9" spans="1:12" x14ac:dyDescent="0.25">
      <c r="A9" s="47"/>
      <c r="B9" s="48"/>
      <c r="C9" s="48"/>
      <c r="D9" s="47"/>
      <c r="E9" s="48"/>
      <c r="F9" s="53"/>
      <c r="G9" s="5"/>
      <c r="H9" s="5"/>
      <c r="I9" s="1"/>
      <c r="J9" s="48"/>
      <c r="K9" s="48"/>
      <c r="L9" s="53"/>
    </row>
    <row r="10" spans="1:12" x14ac:dyDescent="0.25">
      <c r="A10" s="43"/>
      <c r="B10" s="44"/>
      <c r="C10" s="44"/>
      <c r="D10" s="43"/>
      <c r="E10" s="44"/>
      <c r="F10" s="49"/>
      <c r="I10" s="2"/>
      <c r="J10" s="44"/>
      <c r="K10" s="44"/>
      <c r="L10" s="49"/>
    </row>
    <row r="11" spans="1:12" x14ac:dyDescent="0.25">
      <c r="A11" s="43"/>
      <c r="B11" s="17" t="s">
        <v>65</v>
      </c>
      <c r="C11" s="46"/>
      <c r="D11" s="52"/>
      <c r="E11" s="17" t="s">
        <v>66</v>
      </c>
      <c r="F11" s="51"/>
      <c r="G11" s="20"/>
      <c r="H11" s="16" t="s">
        <v>67</v>
      </c>
      <c r="I11" s="25"/>
      <c r="J11" s="54"/>
      <c r="K11" s="18" t="s">
        <v>68</v>
      </c>
      <c r="L11" s="49"/>
    </row>
    <row r="12" spans="1:12" x14ac:dyDescent="0.25">
      <c r="A12" s="43"/>
      <c r="B12" s="14">
        <f>(((B6*1000/2)*1.225*(1/1000))/14.7)*(1/750)*(1000/1)</f>
        <v>0.11111111111111112</v>
      </c>
      <c r="C12" s="45"/>
      <c r="D12" s="43"/>
      <c r="E12" s="14">
        <f>(K6-(B12*E6))/H6</f>
        <v>1.4444444444444444</v>
      </c>
      <c r="F12" s="50"/>
      <c r="H12" s="15">
        <v>95</v>
      </c>
      <c r="I12" s="2"/>
      <c r="J12" s="44"/>
      <c r="K12" s="14">
        <f>(E12/H12)*60</f>
        <v>0.91228070175438591</v>
      </c>
      <c r="L12" s="49"/>
    </row>
    <row r="13" spans="1:12" x14ac:dyDescent="0.25">
      <c r="A13" s="43"/>
      <c r="B13" s="44"/>
      <c r="C13" s="44"/>
      <c r="D13" s="43"/>
      <c r="E13" s="44"/>
      <c r="F13" s="49"/>
      <c r="I13" s="2"/>
      <c r="J13" s="44"/>
      <c r="K13" s="44"/>
      <c r="L13" s="49"/>
    </row>
    <row r="14" spans="1:12" x14ac:dyDescent="0.25">
      <c r="A14" s="43"/>
      <c r="B14" s="44"/>
      <c r="C14" s="44"/>
      <c r="D14" s="43"/>
      <c r="E14" s="44"/>
      <c r="F14" s="49"/>
      <c r="I14" s="2"/>
      <c r="J14" s="44"/>
      <c r="K14" s="44"/>
      <c r="L14" s="49"/>
    </row>
    <row r="15" spans="1:12" x14ac:dyDescent="0.25">
      <c r="A15" s="22"/>
      <c r="B15" s="5"/>
      <c r="C15" s="5"/>
      <c r="D15" s="22"/>
      <c r="E15" s="5"/>
      <c r="F15" s="1"/>
      <c r="G15" s="5"/>
      <c r="H15" s="5"/>
      <c r="I15" s="1"/>
      <c r="J15" s="40"/>
      <c r="K15" s="40"/>
      <c r="L15" s="41"/>
    </row>
    <row r="16" spans="1:12" x14ac:dyDescent="0.25">
      <c r="A16" s="7"/>
      <c r="D16" s="7"/>
      <c r="F16" s="2"/>
      <c r="I16" s="2"/>
      <c r="J16" s="37"/>
      <c r="K16" s="37"/>
      <c r="L16" s="38"/>
    </row>
    <row r="17" spans="1:12" x14ac:dyDescent="0.25">
      <c r="A17" s="7"/>
      <c r="B17" s="16" t="s">
        <v>69</v>
      </c>
      <c r="C17" s="24"/>
      <c r="D17" s="6"/>
      <c r="E17" s="16" t="s">
        <v>70</v>
      </c>
      <c r="F17" s="25"/>
      <c r="G17" s="20"/>
      <c r="H17" s="16" t="s">
        <v>71</v>
      </c>
      <c r="I17" s="25"/>
      <c r="J17" s="39"/>
      <c r="K17" s="35" t="s">
        <v>72</v>
      </c>
      <c r="L17" s="38"/>
    </row>
    <row r="18" spans="1:12" x14ac:dyDescent="0.25">
      <c r="A18" s="7"/>
      <c r="B18" s="15">
        <v>20</v>
      </c>
      <c r="D18" s="7"/>
      <c r="E18" s="15">
        <v>3</v>
      </c>
      <c r="F18" s="2"/>
      <c r="H18" s="15">
        <v>3</v>
      </c>
      <c r="I18" s="2"/>
      <c r="J18" s="37"/>
      <c r="K18" s="36">
        <f>(K12*B18)+(B12*E6)+(E18*E12)+H18</f>
        <v>26.134502923976608</v>
      </c>
      <c r="L18" s="38"/>
    </row>
    <row r="19" spans="1:12" x14ac:dyDescent="0.25">
      <c r="A19" s="7"/>
      <c r="D19" s="7"/>
      <c r="F19" s="2"/>
      <c r="I19" s="2"/>
      <c r="J19" s="37"/>
      <c r="K19" s="42"/>
      <c r="L19" s="38"/>
    </row>
    <row r="20" spans="1:12" x14ac:dyDescent="0.25">
      <c r="A20" s="7"/>
      <c r="D20" s="7"/>
      <c r="F20" s="2"/>
      <c r="I20" s="2"/>
      <c r="J20" s="37"/>
      <c r="K20" s="37"/>
      <c r="L20" s="38"/>
    </row>
    <row r="21" spans="1:12" x14ac:dyDescent="0.25">
      <c r="A21" s="244"/>
      <c r="B21" s="245"/>
      <c r="C21" s="245"/>
      <c r="D21" s="245"/>
      <c r="E21" s="245"/>
      <c r="F21" s="245"/>
      <c r="G21" s="245"/>
      <c r="H21" s="245"/>
      <c r="I21" s="245"/>
      <c r="J21" s="245"/>
      <c r="K21" s="245"/>
      <c r="L21" s="246"/>
    </row>
    <row r="22" spans="1:12" x14ac:dyDescent="0.25">
      <c r="A22" s="247"/>
      <c r="B22" s="248"/>
      <c r="C22" s="248"/>
      <c r="D22" s="248"/>
      <c r="E22" s="248"/>
      <c r="F22" s="248"/>
      <c r="G22" s="248"/>
      <c r="H22" s="248"/>
      <c r="I22" s="248"/>
      <c r="J22" s="248"/>
      <c r="K22" s="248"/>
      <c r="L22" s="249"/>
    </row>
    <row r="23" spans="1:12" x14ac:dyDescent="0.25">
      <c r="A23" s="247"/>
      <c r="B23" s="248"/>
      <c r="C23" s="248"/>
      <c r="D23" s="248"/>
      <c r="E23" s="248"/>
      <c r="F23" s="248"/>
      <c r="G23" s="248"/>
      <c r="H23" s="248"/>
      <c r="I23" s="248"/>
      <c r="J23" s="248"/>
      <c r="K23" s="248"/>
      <c r="L23" s="249"/>
    </row>
    <row r="24" spans="1:12" x14ac:dyDescent="0.25">
      <c r="A24" s="247"/>
      <c r="B24" s="248"/>
      <c r="C24" s="248"/>
      <c r="D24" s="248"/>
      <c r="E24" s="248"/>
      <c r="F24" s="248"/>
      <c r="G24" s="248"/>
      <c r="H24" s="248"/>
      <c r="I24" s="248"/>
      <c r="J24" s="248"/>
      <c r="K24" s="248"/>
      <c r="L24" s="249"/>
    </row>
    <row r="25" spans="1:12" x14ac:dyDescent="0.25">
      <c r="A25" s="247"/>
      <c r="B25" s="248"/>
      <c r="C25" s="248"/>
      <c r="D25" s="248"/>
      <c r="E25" s="248"/>
      <c r="F25" s="248"/>
      <c r="G25" s="248"/>
      <c r="H25" s="248"/>
      <c r="I25" s="248"/>
      <c r="J25" s="248"/>
      <c r="K25" s="248"/>
      <c r="L25" s="249"/>
    </row>
    <row r="26" spans="1:12" x14ac:dyDescent="0.25">
      <c r="A26" s="247"/>
      <c r="B26" s="248"/>
      <c r="C26" s="248"/>
      <c r="D26" s="248"/>
      <c r="E26" s="248"/>
      <c r="F26" s="248"/>
      <c r="G26" s="248"/>
      <c r="H26" s="248"/>
      <c r="I26" s="248"/>
      <c r="J26" s="248"/>
      <c r="K26" s="248"/>
      <c r="L26" s="249"/>
    </row>
    <row r="27" spans="1:12" x14ac:dyDescent="0.25">
      <c r="A27" s="247"/>
      <c r="B27" s="248"/>
      <c r="C27" s="248"/>
      <c r="D27" s="248"/>
      <c r="E27" s="248"/>
      <c r="F27" s="248"/>
      <c r="G27" s="248"/>
      <c r="H27" s="248"/>
      <c r="I27" s="248"/>
      <c r="J27" s="248"/>
      <c r="K27" s="248"/>
      <c r="L27" s="249"/>
    </row>
    <row r="28" spans="1:12" x14ac:dyDescent="0.25">
      <c r="A28" s="247"/>
      <c r="B28" s="248"/>
      <c r="C28" s="248"/>
      <c r="D28" s="248"/>
      <c r="E28" s="248"/>
      <c r="F28" s="248"/>
      <c r="G28" s="248"/>
      <c r="H28" s="248"/>
      <c r="I28" s="248"/>
      <c r="J28" s="248"/>
      <c r="K28" s="248"/>
      <c r="L28" s="249"/>
    </row>
    <row r="29" spans="1:12" x14ac:dyDescent="0.25">
      <c r="A29" s="247"/>
      <c r="B29" s="248"/>
      <c r="C29" s="248"/>
      <c r="D29" s="248"/>
      <c r="E29" s="248"/>
      <c r="F29" s="248"/>
      <c r="G29" s="248"/>
      <c r="H29" s="248"/>
      <c r="I29" s="248"/>
      <c r="J29" s="248"/>
      <c r="K29" s="248"/>
      <c r="L29" s="249"/>
    </row>
    <row r="30" spans="1:12" x14ac:dyDescent="0.25">
      <c r="A30" s="247"/>
      <c r="B30" s="248"/>
      <c r="C30" s="248"/>
      <c r="D30" s="248"/>
      <c r="E30" s="248"/>
      <c r="F30" s="248"/>
      <c r="G30" s="248"/>
      <c r="H30" s="248"/>
      <c r="I30" s="248"/>
      <c r="J30" s="248"/>
      <c r="K30" s="248"/>
      <c r="L30" s="249"/>
    </row>
    <row r="31" spans="1:12" x14ac:dyDescent="0.25">
      <c r="A31" s="250"/>
      <c r="B31" s="251"/>
      <c r="C31" s="251"/>
      <c r="D31" s="251"/>
      <c r="E31" s="251"/>
      <c r="F31" s="251"/>
      <c r="G31" s="251"/>
      <c r="H31" s="251"/>
      <c r="I31" s="251"/>
      <c r="J31" s="251"/>
      <c r="K31" s="251"/>
      <c r="L31" s="252"/>
    </row>
  </sheetData>
  <mergeCells count="2">
    <mergeCell ref="A1:L2"/>
    <mergeCell ref="A21:L31"/>
  </mergeCells>
  <pageMargins left="0.7" right="0.7" top="0.78740157499999996" bottom="0.78740157499999996" header="0.3" footer="0.3"/>
  <pageSetup paperSize="0" orientation="portrait" horizontalDpi="0" verticalDpi="0" copie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Temp</vt:lpstr>
      <vt:lpstr>Druck</vt:lpstr>
      <vt:lpstr>Kraftstoff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2006-09-21T08:52:22Z</dcterms:created>
  <dcterms:modified xsi:type="dcterms:W3CDTF">2024-06-12T21:40:28Z</dcterms:modified>
  <cp:category/>
  <cp:contentStatus/>
</cp:coreProperties>
</file>